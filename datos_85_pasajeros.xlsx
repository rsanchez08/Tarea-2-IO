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nsy López\Downloads\"/>
    </mc:Choice>
  </mc:AlternateContent>
  <xr:revisionPtr revIDLastSave="0" documentId="13_ncr:1_{E7346F97-1CF5-4217-B8CA-80C2AB1A22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serv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9" i="1" l="1"/>
  <c r="N89" i="1"/>
  <c r="M89" i="1"/>
  <c r="L89" i="1"/>
  <c r="J89" i="1"/>
  <c r="O88" i="1"/>
  <c r="N88" i="1"/>
  <c r="M88" i="1"/>
  <c r="L88" i="1"/>
  <c r="J88" i="1"/>
  <c r="O87" i="1"/>
  <c r="N87" i="1"/>
  <c r="M87" i="1"/>
  <c r="L87" i="1"/>
  <c r="J87" i="1"/>
  <c r="O86" i="1"/>
  <c r="N86" i="1"/>
  <c r="M86" i="1"/>
  <c r="L86" i="1"/>
  <c r="J86" i="1"/>
  <c r="O85" i="1"/>
  <c r="N85" i="1"/>
  <c r="M85" i="1"/>
  <c r="L85" i="1"/>
  <c r="J85" i="1"/>
  <c r="O84" i="1"/>
  <c r="N84" i="1"/>
  <c r="M84" i="1"/>
  <c r="L84" i="1"/>
  <c r="J84" i="1"/>
  <c r="O83" i="1"/>
  <c r="N83" i="1"/>
  <c r="M83" i="1"/>
  <c r="L83" i="1"/>
  <c r="J83" i="1"/>
  <c r="O82" i="1"/>
  <c r="N82" i="1"/>
  <c r="M82" i="1"/>
  <c r="L82" i="1"/>
  <c r="J82" i="1"/>
  <c r="O81" i="1"/>
  <c r="N81" i="1"/>
  <c r="M81" i="1"/>
  <c r="L81" i="1"/>
  <c r="J81" i="1"/>
  <c r="O80" i="1"/>
  <c r="N80" i="1"/>
  <c r="M80" i="1"/>
  <c r="L80" i="1"/>
  <c r="J80" i="1"/>
  <c r="O79" i="1"/>
  <c r="N79" i="1"/>
  <c r="M79" i="1"/>
  <c r="L79" i="1"/>
  <c r="J79" i="1"/>
  <c r="O78" i="1"/>
  <c r="N78" i="1"/>
  <c r="M78" i="1"/>
  <c r="L78" i="1"/>
  <c r="J78" i="1"/>
  <c r="O77" i="1"/>
  <c r="N77" i="1"/>
  <c r="M77" i="1"/>
  <c r="L77" i="1"/>
  <c r="J77" i="1"/>
  <c r="O76" i="1"/>
  <c r="N76" i="1"/>
  <c r="M76" i="1"/>
  <c r="L76" i="1"/>
  <c r="J76" i="1"/>
  <c r="O75" i="1"/>
  <c r="N75" i="1"/>
  <c r="M75" i="1"/>
  <c r="L75" i="1"/>
  <c r="J75" i="1"/>
  <c r="O74" i="1"/>
  <c r="N74" i="1"/>
  <c r="M74" i="1"/>
  <c r="L74" i="1"/>
  <c r="J74" i="1"/>
  <c r="O73" i="1"/>
  <c r="N73" i="1"/>
  <c r="M73" i="1"/>
  <c r="L73" i="1"/>
  <c r="J73" i="1"/>
  <c r="O72" i="1"/>
  <c r="N72" i="1"/>
  <c r="M72" i="1"/>
  <c r="L72" i="1"/>
  <c r="J72" i="1"/>
  <c r="O71" i="1"/>
  <c r="N71" i="1"/>
  <c r="M71" i="1"/>
  <c r="L71" i="1"/>
  <c r="J71" i="1"/>
  <c r="O70" i="1"/>
  <c r="N70" i="1"/>
  <c r="M70" i="1"/>
  <c r="L70" i="1"/>
  <c r="J70" i="1"/>
  <c r="O69" i="1"/>
  <c r="N69" i="1"/>
  <c r="M69" i="1"/>
  <c r="L69" i="1"/>
  <c r="J69" i="1"/>
  <c r="O68" i="1"/>
  <c r="N68" i="1"/>
  <c r="M68" i="1"/>
  <c r="L68" i="1"/>
  <c r="J68" i="1"/>
  <c r="O67" i="1"/>
  <c r="N67" i="1"/>
  <c r="M67" i="1"/>
  <c r="L67" i="1"/>
  <c r="J67" i="1"/>
  <c r="O66" i="1"/>
  <c r="N66" i="1"/>
  <c r="M66" i="1"/>
  <c r="L66" i="1"/>
  <c r="J66" i="1"/>
  <c r="O65" i="1"/>
  <c r="N65" i="1"/>
  <c r="M65" i="1"/>
  <c r="L65" i="1"/>
  <c r="J65" i="1"/>
  <c r="O64" i="1"/>
  <c r="N64" i="1"/>
  <c r="M64" i="1"/>
  <c r="L64" i="1"/>
  <c r="J64" i="1"/>
  <c r="O63" i="1"/>
  <c r="N63" i="1"/>
  <c r="M63" i="1"/>
  <c r="L63" i="1"/>
  <c r="J63" i="1"/>
  <c r="O62" i="1"/>
  <c r="N62" i="1"/>
  <c r="M62" i="1"/>
  <c r="L62" i="1"/>
  <c r="J62" i="1"/>
  <c r="O61" i="1"/>
  <c r="N61" i="1"/>
  <c r="M61" i="1"/>
  <c r="L61" i="1"/>
  <c r="J61" i="1"/>
  <c r="O60" i="1"/>
  <c r="N60" i="1"/>
  <c r="M60" i="1"/>
  <c r="L60" i="1"/>
  <c r="J60" i="1"/>
  <c r="O59" i="1"/>
  <c r="N59" i="1"/>
  <c r="M59" i="1"/>
  <c r="L59" i="1"/>
  <c r="J59" i="1"/>
  <c r="O58" i="1"/>
  <c r="N58" i="1"/>
  <c r="M58" i="1"/>
  <c r="L58" i="1"/>
  <c r="J58" i="1"/>
  <c r="O57" i="1"/>
  <c r="N57" i="1"/>
  <c r="M57" i="1"/>
  <c r="L57" i="1"/>
  <c r="J57" i="1"/>
  <c r="O56" i="1"/>
  <c r="N56" i="1"/>
  <c r="M56" i="1"/>
  <c r="L56" i="1"/>
  <c r="J56" i="1"/>
  <c r="O55" i="1"/>
  <c r="N55" i="1"/>
  <c r="M55" i="1"/>
  <c r="L55" i="1"/>
  <c r="J55" i="1"/>
  <c r="O54" i="1"/>
  <c r="N54" i="1"/>
  <c r="M54" i="1"/>
  <c r="L54" i="1"/>
  <c r="J54" i="1"/>
  <c r="O53" i="1"/>
  <c r="N53" i="1"/>
  <c r="M53" i="1"/>
  <c r="L53" i="1"/>
  <c r="J53" i="1"/>
  <c r="O52" i="1"/>
  <c r="N52" i="1"/>
  <c r="M52" i="1"/>
  <c r="L52" i="1"/>
  <c r="J52" i="1"/>
  <c r="O51" i="1"/>
  <c r="N51" i="1"/>
  <c r="M51" i="1"/>
  <c r="L51" i="1"/>
  <c r="J51" i="1"/>
  <c r="O50" i="1"/>
  <c r="N50" i="1"/>
  <c r="M50" i="1"/>
  <c r="L50" i="1"/>
  <c r="J50" i="1"/>
  <c r="O49" i="1"/>
  <c r="N49" i="1"/>
  <c r="M49" i="1"/>
  <c r="L49" i="1"/>
  <c r="J49" i="1"/>
  <c r="O48" i="1"/>
  <c r="N48" i="1"/>
  <c r="M48" i="1"/>
  <c r="L48" i="1"/>
  <c r="J48" i="1"/>
  <c r="O47" i="1"/>
  <c r="N47" i="1"/>
  <c r="M47" i="1"/>
  <c r="L47" i="1"/>
  <c r="J47" i="1"/>
  <c r="O46" i="1"/>
  <c r="N46" i="1"/>
  <c r="M46" i="1"/>
  <c r="L46" i="1"/>
  <c r="J46" i="1"/>
  <c r="O45" i="1"/>
  <c r="N45" i="1"/>
  <c r="M45" i="1"/>
  <c r="L45" i="1"/>
  <c r="J45" i="1"/>
  <c r="O44" i="1"/>
  <c r="N44" i="1"/>
  <c r="M44" i="1"/>
  <c r="L44" i="1"/>
  <c r="J44" i="1"/>
  <c r="O43" i="1"/>
  <c r="N43" i="1"/>
  <c r="M43" i="1"/>
  <c r="L43" i="1"/>
  <c r="J43" i="1"/>
  <c r="O42" i="1"/>
  <c r="N42" i="1"/>
  <c r="M42" i="1"/>
  <c r="L42" i="1"/>
  <c r="J42" i="1"/>
  <c r="O41" i="1"/>
  <c r="N41" i="1"/>
  <c r="M41" i="1"/>
  <c r="L41" i="1"/>
  <c r="J41" i="1"/>
  <c r="O40" i="1"/>
  <c r="N40" i="1"/>
  <c r="M40" i="1"/>
  <c r="L40" i="1"/>
  <c r="J40" i="1"/>
  <c r="O39" i="1"/>
  <c r="N39" i="1"/>
  <c r="M39" i="1"/>
  <c r="L39" i="1"/>
  <c r="J39" i="1"/>
  <c r="O38" i="1"/>
  <c r="N38" i="1"/>
  <c r="M38" i="1"/>
  <c r="L38" i="1"/>
  <c r="J38" i="1"/>
  <c r="O37" i="1"/>
  <c r="N37" i="1"/>
  <c r="M37" i="1"/>
  <c r="L37" i="1"/>
  <c r="J37" i="1"/>
  <c r="O36" i="1"/>
  <c r="N36" i="1"/>
  <c r="M36" i="1"/>
  <c r="L36" i="1"/>
  <c r="J36" i="1"/>
  <c r="O35" i="1"/>
  <c r="N35" i="1"/>
  <c r="M35" i="1"/>
  <c r="L35" i="1"/>
  <c r="J35" i="1"/>
  <c r="O34" i="1"/>
  <c r="N34" i="1"/>
  <c r="M34" i="1"/>
  <c r="L34" i="1"/>
  <c r="J34" i="1"/>
  <c r="O33" i="1"/>
  <c r="N33" i="1"/>
  <c r="M33" i="1"/>
  <c r="L33" i="1"/>
  <c r="J33" i="1"/>
  <c r="O32" i="1"/>
  <c r="N32" i="1"/>
  <c r="M32" i="1"/>
  <c r="L32" i="1"/>
  <c r="J32" i="1"/>
  <c r="O31" i="1"/>
  <c r="N31" i="1"/>
  <c r="M31" i="1"/>
  <c r="L31" i="1"/>
  <c r="J31" i="1"/>
  <c r="O30" i="1"/>
  <c r="N30" i="1"/>
  <c r="M30" i="1"/>
  <c r="L30" i="1"/>
  <c r="J30" i="1"/>
  <c r="O29" i="1"/>
  <c r="N29" i="1"/>
  <c r="M29" i="1"/>
  <c r="L29" i="1"/>
  <c r="J29" i="1"/>
  <c r="O28" i="1"/>
  <c r="N28" i="1"/>
  <c r="M28" i="1"/>
  <c r="L28" i="1"/>
  <c r="J28" i="1"/>
  <c r="O27" i="1"/>
  <c r="N27" i="1"/>
  <c r="M27" i="1"/>
  <c r="L27" i="1"/>
  <c r="J27" i="1"/>
  <c r="O26" i="1"/>
  <c r="N26" i="1"/>
  <c r="M26" i="1"/>
  <c r="L26" i="1"/>
  <c r="J26" i="1"/>
  <c r="O25" i="1"/>
  <c r="N25" i="1"/>
  <c r="M25" i="1"/>
  <c r="L25" i="1"/>
  <c r="J25" i="1"/>
  <c r="O24" i="1"/>
  <c r="N24" i="1"/>
  <c r="M24" i="1"/>
  <c r="L24" i="1"/>
  <c r="J24" i="1"/>
  <c r="O23" i="1"/>
  <c r="N23" i="1"/>
  <c r="M23" i="1"/>
  <c r="L23" i="1"/>
  <c r="J23" i="1"/>
  <c r="O22" i="1"/>
  <c r="N22" i="1"/>
  <c r="M22" i="1"/>
  <c r="L22" i="1"/>
  <c r="J22" i="1"/>
  <c r="O21" i="1"/>
  <c r="N21" i="1"/>
  <c r="M21" i="1"/>
  <c r="L21" i="1"/>
  <c r="J21" i="1"/>
  <c r="O20" i="1"/>
  <c r="N20" i="1"/>
  <c r="M20" i="1"/>
  <c r="L20" i="1"/>
  <c r="J20" i="1"/>
  <c r="O19" i="1"/>
  <c r="N19" i="1"/>
  <c r="M19" i="1"/>
  <c r="L19" i="1"/>
  <c r="J19" i="1"/>
  <c r="O18" i="1"/>
  <c r="N18" i="1"/>
  <c r="M18" i="1"/>
  <c r="L18" i="1"/>
  <c r="J18" i="1"/>
  <c r="O17" i="1"/>
  <c r="N17" i="1"/>
  <c r="M17" i="1"/>
  <c r="L17" i="1"/>
  <c r="J17" i="1"/>
  <c r="O16" i="1"/>
  <c r="N16" i="1"/>
  <c r="M16" i="1"/>
  <c r="L16" i="1"/>
  <c r="J16" i="1"/>
  <c r="O15" i="1"/>
  <c r="N15" i="1"/>
  <c r="M15" i="1"/>
  <c r="L15" i="1"/>
  <c r="J15" i="1"/>
  <c r="O14" i="1"/>
  <c r="N14" i="1"/>
  <c r="M14" i="1"/>
  <c r="L14" i="1"/>
  <c r="J14" i="1"/>
  <c r="O13" i="1"/>
  <c r="N13" i="1"/>
  <c r="M13" i="1"/>
  <c r="L13" i="1"/>
  <c r="J13" i="1"/>
  <c r="O12" i="1"/>
  <c r="N12" i="1"/>
  <c r="M12" i="1"/>
  <c r="L12" i="1"/>
  <c r="J12" i="1"/>
  <c r="O11" i="1"/>
  <c r="N11" i="1"/>
  <c r="M11" i="1"/>
  <c r="L11" i="1"/>
  <c r="J11" i="1"/>
  <c r="O10" i="1"/>
  <c r="N10" i="1"/>
  <c r="M10" i="1"/>
  <c r="L10" i="1"/>
  <c r="J10" i="1"/>
  <c r="O9" i="1"/>
  <c r="N9" i="1"/>
  <c r="M9" i="1"/>
  <c r="L9" i="1"/>
  <c r="J9" i="1"/>
  <c r="O8" i="1"/>
  <c r="N8" i="1"/>
  <c r="M8" i="1"/>
  <c r="L8" i="1"/>
  <c r="J8" i="1"/>
  <c r="O7" i="1"/>
  <c r="N7" i="1"/>
  <c r="M7" i="1"/>
  <c r="L7" i="1"/>
  <c r="J7" i="1"/>
  <c r="O6" i="1"/>
  <c r="N6" i="1"/>
  <c r="M6" i="1"/>
  <c r="L6" i="1"/>
  <c r="J6" i="1"/>
  <c r="O5" i="1"/>
  <c r="N5" i="1"/>
  <c r="M5" i="1"/>
  <c r="J5" i="1"/>
</calcChain>
</file>

<file path=xl/sharedStrings.xml><?xml version="1.0" encoding="utf-8"?>
<sst xmlns="http://schemas.openxmlformats.org/spreadsheetml/2006/main" count="187" uniqueCount="33">
  <si>
    <t>Datos de pasajeros - Parada de La Cañada hacia Alajuela</t>
  </si>
  <si>
    <t>id_observacion</t>
  </si>
  <si>
    <t>fecha</t>
  </si>
  <si>
    <t>id_bus</t>
  </si>
  <si>
    <t>hora_llegada</t>
  </si>
  <si>
    <t>hora_inicio_servicio</t>
  </si>
  <si>
    <t>hora_fin_servicio</t>
  </si>
  <si>
    <t>hora_llegada_bus</t>
  </si>
  <si>
    <t>hora_salida_bus</t>
  </si>
  <si>
    <t>intervalo_observacion</t>
  </si>
  <si>
    <t>numero_llegadas_intervalo</t>
  </si>
  <si>
    <t>servidor</t>
  </si>
  <si>
    <t>interarribo_min</t>
  </si>
  <si>
    <t>tiempo_espera_min</t>
  </si>
  <si>
    <t>tiempo_servicio_min</t>
  </si>
  <si>
    <t>tiempo_sistema_min</t>
  </si>
  <si>
    <t>observaciones</t>
  </si>
  <si>
    <t>06:00-06:10</t>
  </si>
  <si>
    <t>Bus hacia Alajuela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</si>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</sst>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name val="Carlito"/>
    </font>
    <font>
      <b/>
      <sz val="14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21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164" fontId="0" fillId="0" borderId="8" xfId="0" applyNumberFormat="1" applyBorder="1" applyAlignment="1">
      <alignment wrapText="1"/>
    </xf>
    <xf numFmtId="0" fontId="0" fillId="0" borderId="8" xfId="0" applyBorder="1" applyAlignment="1">
      <alignment wrapText="1"/>
    </xf>
    <xf numFmtId="21" fontId="0" fillId="0" borderId="8" xfId="0" applyNumberFormat="1" applyBorder="1" applyAlignment="1">
      <alignment wrapText="1"/>
    </xf>
    <xf numFmtId="2" fontId="0" fillId="0" borderId="8" xfId="0" applyNumberFormat="1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2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servacionesPasajeros" displayName="ObservacionesPasajeros" ref="A4:P89" totalsRowShown="0" headerRowDxfId="0" headerRowBorderDxfId="18" tableBorderDxfId="19" totalsRowBorderDxfId="17">
  <tableColumns count="16">
    <tableColumn id="1" xr3:uid="{00000000-0010-0000-0000-000001000000}" name="id_observacion" dataDxfId="16"/>
    <tableColumn id="2" xr3:uid="{00000000-0010-0000-0000-000002000000}" name="fecha" dataDxfId="15"/>
    <tableColumn id="3" xr3:uid="{00000000-0010-0000-0000-000003000000}" name="id_bus" dataDxfId="14"/>
    <tableColumn id="4" xr3:uid="{00000000-0010-0000-0000-000004000000}" name="hora_llegada" dataDxfId="13"/>
    <tableColumn id="5" xr3:uid="{00000000-0010-0000-0000-000005000000}" name="hora_inicio_servicio" dataDxfId="12"/>
    <tableColumn id="6" xr3:uid="{00000000-0010-0000-0000-000006000000}" name="hora_fin_servicio" dataDxfId="11"/>
    <tableColumn id="7" xr3:uid="{00000000-0010-0000-0000-000007000000}" name="hora_llegada_bus" dataDxfId="10"/>
    <tableColumn id="8" xr3:uid="{00000000-0010-0000-0000-000008000000}" name="hora_salida_bus" dataDxfId="9"/>
    <tableColumn id="9" xr3:uid="{00000000-0010-0000-0000-000009000000}" name="intervalo_observacion" dataDxfId="8"/>
    <tableColumn id="10" xr3:uid="{00000000-0010-0000-0000-00000A000000}" name="numero_llegadas_intervalo" dataDxfId="7"/>
    <tableColumn id="11" xr3:uid="{00000000-0010-0000-0000-00000B000000}" name="servidor" dataDxfId="6"/>
    <tableColumn id="12" xr3:uid="{00000000-0010-0000-0000-00000C000000}" name="interarribo_min" dataDxfId="5"/>
    <tableColumn id="13" xr3:uid="{00000000-0010-0000-0000-00000D000000}" name="tiempo_espera_min" dataDxfId="4"/>
    <tableColumn id="14" xr3:uid="{00000000-0010-0000-0000-00000E000000}" name="tiempo_servicio_min" dataDxfId="3"/>
    <tableColumn id="15" xr3:uid="{00000000-0010-0000-0000-00000F000000}" name="tiempo_sistema_min" dataDxfId="2"/>
    <tableColumn id="16" xr3:uid="{00000000-0010-0000-0000-000010000000}" name="observacion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"/>
  <sheetViews>
    <sheetView tabSelected="1" topLeftCell="H73" workbookViewId="0">
      <selection activeCell="P89" sqref="P89"/>
    </sheetView>
  </sheetViews>
  <sheetFormatPr baseColWidth="10" defaultColWidth="8.796875" defaultRowHeight="13.8"/>
  <cols>
    <col min="1" max="1" width="14" customWidth="1"/>
    <col min="2" max="2" width="12" customWidth="1"/>
    <col min="3" max="3" width="9" customWidth="1"/>
    <col min="4" max="4" width="14" customWidth="1"/>
    <col min="5" max="5" width="19" customWidth="1"/>
    <col min="6" max="6" width="18" customWidth="1"/>
    <col min="7" max="7" width="17" customWidth="1"/>
    <col min="8" max="8" width="16" customWidth="1"/>
    <col min="9" max="9" width="20" customWidth="1"/>
    <col min="10" max="10" width="24" customWidth="1"/>
    <col min="11" max="11" width="20" customWidth="1"/>
    <col min="12" max="12" width="16" customWidth="1"/>
    <col min="13" max="13" width="18" customWidth="1"/>
    <col min="14" max="14" width="19" customWidth="1"/>
    <col min="15" max="15" width="18" customWidth="1"/>
    <col min="16" max="16" width="28" customWidth="1"/>
  </cols>
  <sheetData>
    <row r="1" spans="1:16" ht="20.8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0.4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25.65" customHeight="1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5" t="s">
        <v>16</v>
      </c>
    </row>
    <row r="5" spans="1:16">
      <c r="A5" s="6">
        <v>1</v>
      </c>
      <c r="B5" s="7"/>
      <c r="C5" s="8">
        <v>1</v>
      </c>
      <c r="D5" s="9">
        <v>0.2502314814814815</v>
      </c>
      <c r="E5" s="9">
        <v>0.25208333333333333</v>
      </c>
      <c r="F5" s="9">
        <v>0.2525115740740741</v>
      </c>
      <c r="G5" s="9">
        <v>0.25208333333333333</v>
      </c>
      <c r="H5" s="9">
        <v>0.25555555555555554</v>
      </c>
      <c r="I5" s="8" t="s">
        <v>17</v>
      </c>
      <c r="J5" s="8">
        <f t="shared" ref="J5:J36" si="0">COUNTIF($I$5:$I$89,I5)</f>
        <v>11</v>
      </c>
      <c r="K5" s="8" t="s">
        <v>18</v>
      </c>
      <c r="L5" s="10"/>
      <c r="M5" s="10">
        <f t="shared" ref="M5:M36" si="1">(E5-D5)*1440</f>
        <v>2.6666666666666305</v>
      </c>
      <c r="N5" s="10">
        <f t="shared" ref="N5:N36" si="2">(F5-E5)*1440</f>
        <v>0.61666666666670977</v>
      </c>
      <c r="O5" s="10">
        <f t="shared" ref="O5:O36" si="3">(F5-D5)*1440</f>
        <v>3.2833333333333403</v>
      </c>
      <c r="P5" s="11"/>
    </row>
    <row r="6" spans="1:16">
      <c r="A6" s="6">
        <v>2</v>
      </c>
      <c r="B6" s="7"/>
      <c r="C6" s="8">
        <v>1</v>
      </c>
      <c r="D6" s="9">
        <v>0.25046296296296294</v>
      </c>
      <c r="E6" s="9">
        <v>0.2525115740740741</v>
      </c>
      <c r="F6" s="9">
        <v>0.25295138888888891</v>
      </c>
      <c r="G6" s="9">
        <v>0.25208333333333333</v>
      </c>
      <c r="H6" s="9">
        <v>0.25555555555555554</v>
      </c>
      <c r="I6" s="8" t="s">
        <v>17</v>
      </c>
      <c r="J6" s="8">
        <f t="shared" si="0"/>
        <v>11</v>
      </c>
      <c r="K6" s="8" t="s">
        <v>18</v>
      </c>
      <c r="L6" s="10">
        <f t="shared" ref="L6:L37" si="4">(D6-D5)*1440</f>
        <v>0.33333333333327886</v>
      </c>
      <c r="M6" s="10">
        <f t="shared" si="1"/>
        <v>2.9500000000000615</v>
      </c>
      <c r="N6" s="10">
        <f t="shared" si="2"/>
        <v>0.63333333333332575</v>
      </c>
      <c r="O6" s="10">
        <f t="shared" si="3"/>
        <v>3.5833333333333872</v>
      </c>
      <c r="P6" s="11"/>
    </row>
    <row r="7" spans="1:16">
      <c r="A7" s="6">
        <v>3</v>
      </c>
      <c r="B7" s="7"/>
      <c r="C7" s="8">
        <v>1</v>
      </c>
      <c r="D7" s="9">
        <v>0.25069444444444444</v>
      </c>
      <c r="E7" s="9">
        <v>0.25295138888888891</v>
      </c>
      <c r="F7" s="9">
        <v>0.25337962962962962</v>
      </c>
      <c r="G7" s="9">
        <v>0.25208333333333333</v>
      </c>
      <c r="H7" s="9">
        <v>0.25555555555555554</v>
      </c>
      <c r="I7" s="8" t="s">
        <v>17</v>
      </c>
      <c r="J7" s="8">
        <f t="shared" si="0"/>
        <v>11</v>
      </c>
      <c r="K7" s="8" t="s">
        <v>18</v>
      </c>
      <c r="L7" s="10">
        <f t="shared" si="4"/>
        <v>0.33333333333335879</v>
      </c>
      <c r="M7" s="10">
        <f t="shared" si="1"/>
        <v>3.2500000000000284</v>
      </c>
      <c r="N7" s="10">
        <f t="shared" si="2"/>
        <v>0.61666666666662984</v>
      </c>
      <c r="O7" s="10">
        <f t="shared" si="3"/>
        <v>3.8666666666666583</v>
      </c>
      <c r="P7" s="11"/>
    </row>
    <row r="8" spans="1:16">
      <c r="A8" s="6">
        <v>4</v>
      </c>
      <c r="B8" s="7"/>
      <c r="C8" s="8">
        <v>1</v>
      </c>
      <c r="D8" s="9">
        <v>0.25092592592592594</v>
      </c>
      <c r="E8" s="9">
        <v>0.25337962962962962</v>
      </c>
      <c r="F8" s="9">
        <v>0.25381944444444443</v>
      </c>
      <c r="G8" s="9">
        <v>0.25208333333333333</v>
      </c>
      <c r="H8" s="9">
        <v>0.25555555555555554</v>
      </c>
      <c r="I8" s="8" t="s">
        <v>17</v>
      </c>
      <c r="J8" s="8">
        <f t="shared" si="0"/>
        <v>11</v>
      </c>
      <c r="K8" s="8" t="s">
        <v>18</v>
      </c>
      <c r="L8" s="10">
        <f t="shared" si="4"/>
        <v>0.33333333333335879</v>
      </c>
      <c r="M8" s="10">
        <f t="shared" si="1"/>
        <v>3.5333333333332995</v>
      </c>
      <c r="N8" s="10">
        <f t="shared" si="2"/>
        <v>0.63333333333332575</v>
      </c>
      <c r="O8" s="10">
        <f t="shared" si="3"/>
        <v>4.1666666666666252</v>
      </c>
      <c r="P8" s="11"/>
    </row>
    <row r="9" spans="1:16">
      <c r="A9" s="6">
        <v>5</v>
      </c>
      <c r="B9" s="7"/>
      <c r="C9" s="8">
        <v>1</v>
      </c>
      <c r="D9" s="9">
        <v>0.25115740740740738</v>
      </c>
      <c r="E9" s="9">
        <v>0.25381944444444443</v>
      </c>
      <c r="F9" s="9">
        <v>0.2542476851851852</v>
      </c>
      <c r="G9" s="9">
        <v>0.25208333333333333</v>
      </c>
      <c r="H9" s="9">
        <v>0.25555555555555554</v>
      </c>
      <c r="I9" s="8" t="s">
        <v>17</v>
      </c>
      <c r="J9" s="8">
        <f t="shared" si="0"/>
        <v>11</v>
      </c>
      <c r="K9" s="8" t="s">
        <v>18</v>
      </c>
      <c r="L9" s="10">
        <f t="shared" si="4"/>
        <v>0.33333333333327886</v>
      </c>
      <c r="M9" s="10">
        <f t="shared" si="1"/>
        <v>3.8333333333333464</v>
      </c>
      <c r="N9" s="10">
        <f t="shared" si="2"/>
        <v>0.61666666666670977</v>
      </c>
      <c r="O9" s="10">
        <f t="shared" si="3"/>
        <v>4.4500000000000561</v>
      </c>
      <c r="P9" s="11"/>
    </row>
    <row r="10" spans="1:16">
      <c r="A10" s="6">
        <v>6</v>
      </c>
      <c r="B10" s="7"/>
      <c r="C10" s="8">
        <v>1</v>
      </c>
      <c r="D10" s="9">
        <v>0.25138888888888888</v>
      </c>
      <c r="E10" s="9">
        <v>0.2542476851851852</v>
      </c>
      <c r="F10" s="9">
        <v>0.25468750000000001</v>
      </c>
      <c r="G10" s="9">
        <v>0.25208333333333333</v>
      </c>
      <c r="H10" s="9">
        <v>0.25555555555555554</v>
      </c>
      <c r="I10" s="8" t="s">
        <v>17</v>
      </c>
      <c r="J10" s="8">
        <f t="shared" si="0"/>
        <v>11</v>
      </c>
      <c r="K10" s="8" t="s">
        <v>18</v>
      </c>
      <c r="L10" s="10">
        <f t="shared" si="4"/>
        <v>0.33333333333335879</v>
      </c>
      <c r="M10" s="10">
        <f t="shared" si="1"/>
        <v>4.1166666666666973</v>
      </c>
      <c r="N10" s="10">
        <f t="shared" si="2"/>
        <v>0.63333333333332575</v>
      </c>
      <c r="O10" s="10">
        <f t="shared" si="3"/>
        <v>4.7500000000000231</v>
      </c>
      <c r="P10" s="11"/>
    </row>
    <row r="11" spans="1:16">
      <c r="A11" s="6">
        <v>7</v>
      </c>
      <c r="B11" s="7"/>
      <c r="C11" s="8">
        <v>1</v>
      </c>
      <c r="D11" s="9">
        <v>0.25162037037037038</v>
      </c>
      <c r="E11" s="9">
        <v>0.25468750000000001</v>
      </c>
      <c r="F11" s="9">
        <v>0.25511574074074073</v>
      </c>
      <c r="G11" s="9">
        <v>0.25208333333333333</v>
      </c>
      <c r="H11" s="9">
        <v>0.25555555555555554</v>
      </c>
      <c r="I11" s="8" t="s">
        <v>17</v>
      </c>
      <c r="J11" s="8">
        <f t="shared" si="0"/>
        <v>11</v>
      </c>
      <c r="K11" s="8" t="s">
        <v>18</v>
      </c>
      <c r="L11" s="10">
        <f t="shared" si="4"/>
        <v>0.33333333333335879</v>
      </c>
      <c r="M11" s="10">
        <f t="shared" si="1"/>
        <v>4.4166666666666643</v>
      </c>
      <c r="N11" s="10">
        <f t="shared" si="2"/>
        <v>0.61666666666662984</v>
      </c>
      <c r="O11" s="10">
        <f t="shared" si="3"/>
        <v>5.0333333333332941</v>
      </c>
      <c r="P11" s="11"/>
    </row>
    <row r="12" spans="1:16">
      <c r="A12" s="6">
        <v>8</v>
      </c>
      <c r="B12" s="7"/>
      <c r="C12" s="8">
        <v>1</v>
      </c>
      <c r="D12" s="9">
        <v>0.25185185185185183</v>
      </c>
      <c r="E12" s="9">
        <v>0.25511574074074073</v>
      </c>
      <c r="F12" s="9">
        <v>0.25555555555555554</v>
      </c>
      <c r="G12" s="9">
        <v>0.25208333333333333</v>
      </c>
      <c r="H12" s="9">
        <v>0.25555555555555554</v>
      </c>
      <c r="I12" s="8" t="s">
        <v>17</v>
      </c>
      <c r="J12" s="8">
        <f t="shared" si="0"/>
        <v>11</v>
      </c>
      <c r="K12" s="8" t="s">
        <v>18</v>
      </c>
      <c r="L12" s="10">
        <f t="shared" si="4"/>
        <v>0.33333333333327886</v>
      </c>
      <c r="M12" s="10">
        <f t="shared" si="1"/>
        <v>4.7000000000000153</v>
      </c>
      <c r="N12" s="10">
        <f t="shared" si="2"/>
        <v>0.63333333333332575</v>
      </c>
      <c r="O12" s="10">
        <f t="shared" si="3"/>
        <v>5.333333333333341</v>
      </c>
      <c r="P12" s="11"/>
    </row>
    <row r="13" spans="1:16">
      <c r="A13" s="6">
        <v>9</v>
      </c>
      <c r="B13" s="7"/>
      <c r="C13" s="8">
        <v>2</v>
      </c>
      <c r="D13" s="9">
        <v>0.25598379629629631</v>
      </c>
      <c r="E13" s="9">
        <v>0.2590277777777778</v>
      </c>
      <c r="F13" s="9">
        <v>0.25922453703703702</v>
      </c>
      <c r="G13" s="9">
        <v>0.2590277777777778</v>
      </c>
      <c r="H13" s="9">
        <v>0.26041666666666669</v>
      </c>
      <c r="I13" s="8" t="s">
        <v>17</v>
      </c>
      <c r="J13" s="8">
        <f t="shared" si="0"/>
        <v>11</v>
      </c>
      <c r="K13" s="8" t="s">
        <v>18</v>
      </c>
      <c r="L13" s="10">
        <f t="shared" si="4"/>
        <v>5.9500000000000508</v>
      </c>
      <c r="M13" s="10">
        <f t="shared" si="1"/>
        <v>4.3833333333333524</v>
      </c>
      <c r="N13" s="10">
        <f t="shared" si="2"/>
        <v>0.28333333333327104</v>
      </c>
      <c r="O13" s="10">
        <f t="shared" si="3"/>
        <v>4.6666666666666234</v>
      </c>
      <c r="P13" s="11"/>
    </row>
    <row r="14" spans="1:16">
      <c r="A14" s="6">
        <v>10</v>
      </c>
      <c r="B14" s="7"/>
      <c r="C14" s="8">
        <v>2</v>
      </c>
      <c r="D14" s="9">
        <v>0.25642361111111112</v>
      </c>
      <c r="E14" s="9">
        <v>0.25922453703703702</v>
      </c>
      <c r="F14" s="9">
        <v>0.25942129629629629</v>
      </c>
      <c r="G14" s="9">
        <v>0.2590277777777778</v>
      </c>
      <c r="H14" s="9">
        <v>0.26041666666666669</v>
      </c>
      <c r="I14" s="8" t="s">
        <v>17</v>
      </c>
      <c r="J14" s="8">
        <f t="shared" si="0"/>
        <v>11</v>
      </c>
      <c r="K14" s="8" t="s">
        <v>18</v>
      </c>
      <c r="L14" s="10">
        <f t="shared" si="4"/>
        <v>0.63333333333332575</v>
      </c>
      <c r="M14" s="10">
        <f t="shared" si="1"/>
        <v>4.0333333333332977</v>
      </c>
      <c r="N14" s="10">
        <f t="shared" si="2"/>
        <v>0.28333333333335098</v>
      </c>
      <c r="O14" s="10">
        <f t="shared" si="3"/>
        <v>4.3166666666666487</v>
      </c>
      <c r="P14" s="11"/>
    </row>
    <row r="15" spans="1:16">
      <c r="A15" s="6">
        <v>11</v>
      </c>
      <c r="B15" s="7"/>
      <c r="C15" s="8">
        <v>2</v>
      </c>
      <c r="D15" s="9">
        <v>0.25685185185185183</v>
      </c>
      <c r="E15" s="9">
        <v>0.25942129629629629</v>
      </c>
      <c r="F15" s="9">
        <v>0.25961805555555556</v>
      </c>
      <c r="G15" s="9">
        <v>0.2590277777777778</v>
      </c>
      <c r="H15" s="9">
        <v>0.26041666666666669</v>
      </c>
      <c r="I15" s="8" t="s">
        <v>17</v>
      </c>
      <c r="J15" s="8">
        <f t="shared" si="0"/>
        <v>11</v>
      </c>
      <c r="K15" s="8" t="s">
        <v>18</v>
      </c>
      <c r="L15" s="10">
        <f t="shared" si="4"/>
        <v>0.61666666666662984</v>
      </c>
      <c r="M15" s="10">
        <f t="shared" si="1"/>
        <v>3.7000000000000188</v>
      </c>
      <c r="N15" s="10">
        <f t="shared" si="2"/>
        <v>0.28333333333335098</v>
      </c>
      <c r="O15" s="10">
        <f t="shared" si="3"/>
        <v>3.9833333333333698</v>
      </c>
      <c r="P15" s="11"/>
    </row>
    <row r="16" spans="1:16">
      <c r="A16" s="6">
        <v>12</v>
      </c>
      <c r="B16" s="7"/>
      <c r="C16" s="8">
        <v>2</v>
      </c>
      <c r="D16" s="9">
        <v>0.25729166666666664</v>
      </c>
      <c r="E16" s="9">
        <v>0.25961805555555556</v>
      </c>
      <c r="F16" s="9">
        <v>0.25981481481481483</v>
      </c>
      <c r="G16" s="9">
        <v>0.2590277777777778</v>
      </c>
      <c r="H16" s="9">
        <v>0.26041666666666669</v>
      </c>
      <c r="I16" s="8" t="s">
        <v>19</v>
      </c>
      <c r="J16" s="8">
        <f t="shared" si="0"/>
        <v>13</v>
      </c>
      <c r="K16" s="8" t="s">
        <v>18</v>
      </c>
      <c r="L16" s="10">
        <f t="shared" si="4"/>
        <v>0.63333333333332575</v>
      </c>
      <c r="M16" s="10">
        <f t="shared" si="1"/>
        <v>3.3500000000000441</v>
      </c>
      <c r="N16" s="10">
        <f t="shared" si="2"/>
        <v>0.28333333333335098</v>
      </c>
      <c r="O16" s="10">
        <f t="shared" si="3"/>
        <v>3.633333333333395</v>
      </c>
      <c r="P16" s="11"/>
    </row>
    <row r="17" spans="1:16">
      <c r="A17" s="6">
        <v>13</v>
      </c>
      <c r="B17" s="7"/>
      <c r="C17" s="8">
        <v>2</v>
      </c>
      <c r="D17" s="9">
        <v>0.25771990740740741</v>
      </c>
      <c r="E17" s="9">
        <v>0.25981481481481483</v>
      </c>
      <c r="F17" s="9">
        <v>0.26001157407407405</v>
      </c>
      <c r="G17" s="9">
        <v>0.2590277777777778</v>
      </c>
      <c r="H17" s="9">
        <v>0.26041666666666669</v>
      </c>
      <c r="I17" s="8" t="s">
        <v>19</v>
      </c>
      <c r="J17" s="8">
        <f t="shared" si="0"/>
        <v>13</v>
      </c>
      <c r="K17" s="8" t="s">
        <v>18</v>
      </c>
      <c r="L17" s="10">
        <f t="shared" si="4"/>
        <v>0.61666666666670977</v>
      </c>
      <c r="M17" s="10">
        <f t="shared" si="1"/>
        <v>3.0166666666666853</v>
      </c>
      <c r="N17" s="10">
        <f t="shared" si="2"/>
        <v>0.28333333333327104</v>
      </c>
      <c r="O17" s="10">
        <f t="shared" si="3"/>
        <v>3.2999999999999563</v>
      </c>
      <c r="P17" s="11"/>
    </row>
    <row r="18" spans="1:16">
      <c r="A18" s="6">
        <v>14</v>
      </c>
      <c r="B18" s="7"/>
      <c r="C18" s="8">
        <v>2</v>
      </c>
      <c r="D18" s="9">
        <v>0.25815972222222222</v>
      </c>
      <c r="E18" s="9">
        <v>0.26001157407407405</v>
      </c>
      <c r="F18" s="9">
        <v>0.26020833333333332</v>
      </c>
      <c r="G18" s="9">
        <v>0.2590277777777778</v>
      </c>
      <c r="H18" s="9">
        <v>0.26041666666666669</v>
      </c>
      <c r="I18" s="8" t="s">
        <v>19</v>
      </c>
      <c r="J18" s="8">
        <f t="shared" si="0"/>
        <v>13</v>
      </c>
      <c r="K18" s="8" t="s">
        <v>18</v>
      </c>
      <c r="L18" s="10">
        <f t="shared" si="4"/>
        <v>0.63333333333332575</v>
      </c>
      <c r="M18" s="10">
        <f t="shared" si="1"/>
        <v>2.6666666666666305</v>
      </c>
      <c r="N18" s="10">
        <f t="shared" si="2"/>
        <v>0.28333333333335098</v>
      </c>
      <c r="O18" s="10">
        <f t="shared" si="3"/>
        <v>2.9499999999999815</v>
      </c>
      <c r="P18" s="11"/>
    </row>
    <row r="19" spans="1:16">
      <c r="A19" s="6">
        <v>15</v>
      </c>
      <c r="B19" s="7"/>
      <c r="C19" s="8">
        <v>2</v>
      </c>
      <c r="D19" s="9">
        <v>0.25858796296296294</v>
      </c>
      <c r="E19" s="9">
        <v>0.26020833333333332</v>
      </c>
      <c r="F19" s="9">
        <v>0.26041666666666669</v>
      </c>
      <c r="G19" s="9">
        <v>0.2590277777777778</v>
      </c>
      <c r="H19" s="9">
        <v>0.26041666666666669</v>
      </c>
      <c r="I19" s="8" t="s">
        <v>19</v>
      </c>
      <c r="J19" s="8">
        <f t="shared" si="0"/>
        <v>13</v>
      </c>
      <c r="K19" s="8" t="s">
        <v>18</v>
      </c>
      <c r="L19" s="10">
        <f t="shared" si="4"/>
        <v>0.61666666666662984</v>
      </c>
      <c r="M19" s="10">
        <f t="shared" si="1"/>
        <v>2.3333333333333517</v>
      </c>
      <c r="N19" s="10">
        <f t="shared" si="2"/>
        <v>0.3000000000000469</v>
      </c>
      <c r="O19" s="10">
        <f t="shared" si="3"/>
        <v>2.6333333333333986</v>
      </c>
      <c r="P19" s="11"/>
    </row>
    <row r="20" spans="1:16">
      <c r="A20" s="6">
        <v>16</v>
      </c>
      <c r="B20" s="7"/>
      <c r="C20" s="8">
        <v>3</v>
      </c>
      <c r="D20" s="9">
        <v>0.26076388888888891</v>
      </c>
      <c r="E20" s="9">
        <v>0.26597222222222222</v>
      </c>
      <c r="F20" s="9">
        <v>0.26620370370370372</v>
      </c>
      <c r="G20" s="9">
        <v>0.26597222222222222</v>
      </c>
      <c r="H20" s="9">
        <v>0.26944444444444443</v>
      </c>
      <c r="I20" s="8" t="s">
        <v>19</v>
      </c>
      <c r="J20" s="8">
        <f t="shared" si="0"/>
        <v>13</v>
      </c>
      <c r="K20" s="8" t="s">
        <v>18</v>
      </c>
      <c r="L20" s="10">
        <f t="shared" si="4"/>
        <v>3.1333333333333968</v>
      </c>
      <c r="M20" s="10">
        <f t="shared" si="1"/>
        <v>7.4999999999999734</v>
      </c>
      <c r="N20" s="10">
        <f t="shared" si="2"/>
        <v>0.33333333333335879</v>
      </c>
      <c r="O20" s="10">
        <f t="shared" si="3"/>
        <v>7.8333333333333321</v>
      </c>
      <c r="P20" s="11"/>
    </row>
    <row r="21" spans="1:16">
      <c r="A21" s="6">
        <v>17</v>
      </c>
      <c r="B21" s="7"/>
      <c r="C21" s="8">
        <v>3</v>
      </c>
      <c r="D21" s="9">
        <v>0.26111111111111113</v>
      </c>
      <c r="E21" s="9">
        <v>0.26620370370370372</v>
      </c>
      <c r="F21" s="9">
        <v>0.26643518518518516</v>
      </c>
      <c r="G21" s="9">
        <v>0.26597222222222222</v>
      </c>
      <c r="H21" s="9">
        <v>0.26944444444444443</v>
      </c>
      <c r="I21" s="8" t="s">
        <v>19</v>
      </c>
      <c r="J21" s="8">
        <f t="shared" si="0"/>
        <v>13</v>
      </c>
      <c r="K21" s="8" t="s">
        <v>18</v>
      </c>
      <c r="L21" s="10">
        <f t="shared" si="4"/>
        <v>0.49999999999999822</v>
      </c>
      <c r="M21" s="10">
        <f t="shared" si="1"/>
        <v>7.3333333333333339</v>
      </c>
      <c r="N21" s="10">
        <f t="shared" si="2"/>
        <v>0.33333333333327886</v>
      </c>
      <c r="O21" s="10">
        <f t="shared" si="3"/>
        <v>7.6666666666666128</v>
      </c>
      <c r="P21" s="11"/>
    </row>
    <row r="22" spans="1:16">
      <c r="A22" s="6">
        <v>18</v>
      </c>
      <c r="B22" s="7"/>
      <c r="C22" s="8">
        <v>3</v>
      </c>
      <c r="D22" s="9">
        <v>0.26145833333333335</v>
      </c>
      <c r="E22" s="9">
        <v>0.26643518518518516</v>
      </c>
      <c r="F22" s="9">
        <v>0.26666666666666666</v>
      </c>
      <c r="G22" s="9">
        <v>0.26597222222222222</v>
      </c>
      <c r="H22" s="9">
        <v>0.26944444444444443</v>
      </c>
      <c r="I22" s="8" t="s">
        <v>19</v>
      </c>
      <c r="J22" s="8">
        <f t="shared" si="0"/>
        <v>13</v>
      </c>
      <c r="K22" s="8" t="s">
        <v>18</v>
      </c>
      <c r="L22" s="10">
        <f t="shared" si="4"/>
        <v>0.49999999999999822</v>
      </c>
      <c r="M22" s="10">
        <f t="shared" si="1"/>
        <v>7.1666666666666146</v>
      </c>
      <c r="N22" s="10">
        <f t="shared" si="2"/>
        <v>0.33333333333335879</v>
      </c>
      <c r="O22" s="10">
        <f t="shared" si="3"/>
        <v>7.4999999999999734</v>
      </c>
      <c r="P22" s="11"/>
    </row>
    <row r="23" spans="1:16">
      <c r="A23" s="6">
        <v>19</v>
      </c>
      <c r="B23" s="7"/>
      <c r="C23" s="8">
        <v>3</v>
      </c>
      <c r="D23" s="9">
        <v>0.26180555555555557</v>
      </c>
      <c r="E23" s="9">
        <v>0.26666666666666666</v>
      </c>
      <c r="F23" s="9">
        <v>0.26689814814814816</v>
      </c>
      <c r="G23" s="9">
        <v>0.26597222222222222</v>
      </c>
      <c r="H23" s="9">
        <v>0.26944444444444443</v>
      </c>
      <c r="I23" s="8" t="s">
        <v>19</v>
      </c>
      <c r="J23" s="8">
        <f t="shared" si="0"/>
        <v>13</v>
      </c>
      <c r="K23" s="8" t="s">
        <v>18</v>
      </c>
      <c r="L23" s="10">
        <f t="shared" si="4"/>
        <v>0.49999999999999822</v>
      </c>
      <c r="M23" s="10">
        <f t="shared" si="1"/>
        <v>6.9999999999999751</v>
      </c>
      <c r="N23" s="10">
        <f t="shared" si="2"/>
        <v>0.33333333333335879</v>
      </c>
      <c r="O23" s="10">
        <f t="shared" si="3"/>
        <v>7.3333333333333339</v>
      </c>
      <c r="P23" s="11"/>
    </row>
    <row r="24" spans="1:16">
      <c r="A24" s="6">
        <v>20</v>
      </c>
      <c r="B24" s="7"/>
      <c r="C24" s="8">
        <v>3</v>
      </c>
      <c r="D24" s="9">
        <v>0.26215277777777779</v>
      </c>
      <c r="E24" s="9">
        <v>0.26689814814814816</v>
      </c>
      <c r="F24" s="9">
        <v>0.26712962962962961</v>
      </c>
      <c r="G24" s="9">
        <v>0.26597222222222222</v>
      </c>
      <c r="H24" s="9">
        <v>0.26944444444444443</v>
      </c>
      <c r="I24" s="8" t="s">
        <v>19</v>
      </c>
      <c r="J24" s="8">
        <f t="shared" si="0"/>
        <v>13</v>
      </c>
      <c r="K24" s="8" t="s">
        <v>18</v>
      </c>
      <c r="L24" s="10">
        <f t="shared" si="4"/>
        <v>0.49999999999999822</v>
      </c>
      <c r="M24" s="10">
        <f t="shared" si="1"/>
        <v>6.8333333333333357</v>
      </c>
      <c r="N24" s="10">
        <f t="shared" si="2"/>
        <v>0.33333333333327886</v>
      </c>
      <c r="O24" s="10">
        <f t="shared" si="3"/>
        <v>7.1666666666666146</v>
      </c>
      <c r="P24" s="11"/>
    </row>
    <row r="25" spans="1:16">
      <c r="A25" s="6">
        <v>21</v>
      </c>
      <c r="B25" s="7"/>
      <c r="C25" s="8">
        <v>3</v>
      </c>
      <c r="D25" s="9">
        <v>0.26250000000000001</v>
      </c>
      <c r="E25" s="9">
        <v>0.26712962962962961</v>
      </c>
      <c r="F25" s="9">
        <v>0.2673611111111111</v>
      </c>
      <c r="G25" s="9">
        <v>0.26597222222222222</v>
      </c>
      <c r="H25" s="9">
        <v>0.26944444444444443</v>
      </c>
      <c r="I25" s="8" t="s">
        <v>19</v>
      </c>
      <c r="J25" s="8">
        <f t="shared" si="0"/>
        <v>13</v>
      </c>
      <c r="K25" s="8" t="s">
        <v>18</v>
      </c>
      <c r="L25" s="10">
        <f t="shared" si="4"/>
        <v>0.49999999999999822</v>
      </c>
      <c r="M25" s="10">
        <f t="shared" si="1"/>
        <v>6.6666666666666163</v>
      </c>
      <c r="N25" s="10">
        <f t="shared" si="2"/>
        <v>0.33333333333335879</v>
      </c>
      <c r="O25" s="10">
        <f t="shared" si="3"/>
        <v>6.9999999999999751</v>
      </c>
      <c r="P25" s="11"/>
    </row>
    <row r="26" spans="1:16">
      <c r="A26" s="6">
        <v>22</v>
      </c>
      <c r="B26" s="7"/>
      <c r="C26" s="8">
        <v>3</v>
      </c>
      <c r="D26" s="9">
        <v>0.26284722222222223</v>
      </c>
      <c r="E26" s="9">
        <v>0.2673611111111111</v>
      </c>
      <c r="F26" s="9">
        <v>0.2675925925925926</v>
      </c>
      <c r="G26" s="9">
        <v>0.26597222222222222</v>
      </c>
      <c r="H26" s="9">
        <v>0.26944444444444443</v>
      </c>
      <c r="I26" s="8" t="s">
        <v>19</v>
      </c>
      <c r="J26" s="8">
        <f t="shared" si="0"/>
        <v>13</v>
      </c>
      <c r="K26" s="8" t="s">
        <v>18</v>
      </c>
      <c r="L26" s="10">
        <f t="shared" si="4"/>
        <v>0.49999999999999822</v>
      </c>
      <c r="M26" s="10">
        <f t="shared" si="1"/>
        <v>6.4999999999999769</v>
      </c>
      <c r="N26" s="10">
        <f t="shared" si="2"/>
        <v>0.33333333333335879</v>
      </c>
      <c r="O26" s="10">
        <f t="shared" si="3"/>
        <v>6.8333333333333357</v>
      </c>
      <c r="P26" s="11"/>
    </row>
    <row r="27" spans="1:16">
      <c r="A27" s="6">
        <v>23</v>
      </c>
      <c r="B27" s="7"/>
      <c r="C27" s="8">
        <v>3</v>
      </c>
      <c r="D27" s="9">
        <v>0.26319444444444445</v>
      </c>
      <c r="E27" s="9">
        <v>0.2675925925925926</v>
      </c>
      <c r="F27" s="9">
        <v>0.26782407407407405</v>
      </c>
      <c r="G27" s="9">
        <v>0.26597222222222222</v>
      </c>
      <c r="H27" s="9">
        <v>0.26944444444444443</v>
      </c>
      <c r="I27" s="8" t="s">
        <v>19</v>
      </c>
      <c r="J27" s="8">
        <f t="shared" si="0"/>
        <v>13</v>
      </c>
      <c r="K27" s="8" t="s">
        <v>18</v>
      </c>
      <c r="L27" s="10">
        <f t="shared" si="4"/>
        <v>0.49999999999999822</v>
      </c>
      <c r="M27" s="10">
        <f t="shared" si="1"/>
        <v>6.3333333333333375</v>
      </c>
      <c r="N27" s="10">
        <f t="shared" si="2"/>
        <v>0.33333333333327886</v>
      </c>
      <c r="O27" s="10">
        <f t="shared" si="3"/>
        <v>6.6666666666666163</v>
      </c>
      <c r="P27" s="11"/>
    </row>
    <row r="28" spans="1:16">
      <c r="A28" s="6">
        <v>24</v>
      </c>
      <c r="B28" s="7"/>
      <c r="C28" s="8">
        <v>3</v>
      </c>
      <c r="D28" s="9">
        <v>0.26354166666666667</v>
      </c>
      <c r="E28" s="9">
        <v>0.26782407407407405</v>
      </c>
      <c r="F28" s="9">
        <v>0.26805555555555555</v>
      </c>
      <c r="G28" s="9">
        <v>0.26597222222222222</v>
      </c>
      <c r="H28" s="9">
        <v>0.26944444444444443</v>
      </c>
      <c r="I28" s="8" t="s">
        <v>19</v>
      </c>
      <c r="J28" s="8">
        <f t="shared" si="0"/>
        <v>13</v>
      </c>
      <c r="K28" s="8" t="s">
        <v>18</v>
      </c>
      <c r="L28" s="10">
        <f t="shared" si="4"/>
        <v>0.49999999999999822</v>
      </c>
      <c r="M28" s="10">
        <f t="shared" si="1"/>
        <v>6.1666666666666181</v>
      </c>
      <c r="N28" s="10">
        <f t="shared" si="2"/>
        <v>0.33333333333335879</v>
      </c>
      <c r="O28" s="10">
        <f t="shared" si="3"/>
        <v>6.4999999999999769</v>
      </c>
      <c r="P28" s="11"/>
    </row>
    <row r="29" spans="1:16">
      <c r="A29" s="6">
        <v>25</v>
      </c>
      <c r="B29" s="7"/>
      <c r="C29" s="8">
        <v>3</v>
      </c>
      <c r="D29" s="9">
        <v>0.2638888888888889</v>
      </c>
      <c r="E29" s="9">
        <v>0.26805555555555555</v>
      </c>
      <c r="F29" s="9">
        <v>0.26828703703703705</v>
      </c>
      <c r="G29" s="9">
        <v>0.26597222222222222</v>
      </c>
      <c r="H29" s="9">
        <v>0.26944444444444443</v>
      </c>
      <c r="I29" s="8" t="s">
        <v>20</v>
      </c>
      <c r="J29" s="8">
        <f t="shared" si="0"/>
        <v>9</v>
      </c>
      <c r="K29" s="8" t="s">
        <v>18</v>
      </c>
      <c r="L29" s="10">
        <f t="shared" si="4"/>
        <v>0.49999999999999822</v>
      </c>
      <c r="M29" s="10">
        <f t="shared" si="1"/>
        <v>5.9999999999999787</v>
      </c>
      <c r="N29" s="10">
        <f t="shared" si="2"/>
        <v>0.33333333333335879</v>
      </c>
      <c r="O29" s="10">
        <f t="shared" si="3"/>
        <v>6.3333333333333375</v>
      </c>
      <c r="P29" s="11"/>
    </row>
    <row r="30" spans="1:16">
      <c r="A30" s="6">
        <v>26</v>
      </c>
      <c r="B30" s="7"/>
      <c r="C30" s="8">
        <v>3</v>
      </c>
      <c r="D30" s="9">
        <v>0.26423611111111112</v>
      </c>
      <c r="E30" s="9">
        <v>0.26828703703703705</v>
      </c>
      <c r="F30" s="9">
        <v>0.26851851851851855</v>
      </c>
      <c r="G30" s="9">
        <v>0.26597222222222222</v>
      </c>
      <c r="H30" s="9">
        <v>0.26944444444444443</v>
      </c>
      <c r="I30" s="8" t="s">
        <v>20</v>
      </c>
      <c r="J30" s="8">
        <f t="shared" si="0"/>
        <v>9</v>
      </c>
      <c r="K30" s="8" t="s">
        <v>18</v>
      </c>
      <c r="L30" s="10">
        <f t="shared" si="4"/>
        <v>0.49999999999999822</v>
      </c>
      <c r="M30" s="10">
        <f t="shared" si="1"/>
        <v>5.8333333333333393</v>
      </c>
      <c r="N30" s="10">
        <f t="shared" si="2"/>
        <v>0.33333333333335879</v>
      </c>
      <c r="O30" s="10">
        <f t="shared" si="3"/>
        <v>6.166666666666698</v>
      </c>
      <c r="P30" s="11"/>
    </row>
    <row r="31" spans="1:16">
      <c r="A31" s="6">
        <v>27</v>
      </c>
      <c r="B31" s="7"/>
      <c r="C31" s="8">
        <v>3</v>
      </c>
      <c r="D31" s="9">
        <v>0.26458333333333334</v>
      </c>
      <c r="E31" s="9">
        <v>0.26851851851851855</v>
      </c>
      <c r="F31" s="9">
        <v>0.26874999999999999</v>
      </c>
      <c r="G31" s="9">
        <v>0.26597222222222222</v>
      </c>
      <c r="H31" s="9">
        <v>0.26944444444444443</v>
      </c>
      <c r="I31" s="8" t="s">
        <v>20</v>
      </c>
      <c r="J31" s="8">
        <f t="shared" si="0"/>
        <v>9</v>
      </c>
      <c r="K31" s="8" t="s">
        <v>18</v>
      </c>
      <c r="L31" s="10">
        <f t="shared" si="4"/>
        <v>0.49999999999999822</v>
      </c>
      <c r="M31" s="10">
        <f t="shared" si="1"/>
        <v>5.6666666666666998</v>
      </c>
      <c r="N31" s="10">
        <f t="shared" si="2"/>
        <v>0.33333333333327886</v>
      </c>
      <c r="O31" s="10">
        <f t="shared" si="3"/>
        <v>5.9999999999999787</v>
      </c>
      <c r="P31" s="11"/>
    </row>
    <row r="32" spans="1:16">
      <c r="A32" s="6">
        <v>28</v>
      </c>
      <c r="B32" s="7"/>
      <c r="C32" s="8">
        <v>3</v>
      </c>
      <c r="D32" s="9">
        <v>0.26493055555555556</v>
      </c>
      <c r="E32" s="9">
        <v>0.26874999999999999</v>
      </c>
      <c r="F32" s="9">
        <v>0.26898148148148149</v>
      </c>
      <c r="G32" s="9">
        <v>0.26597222222222222</v>
      </c>
      <c r="H32" s="9">
        <v>0.26944444444444443</v>
      </c>
      <c r="I32" s="8" t="s">
        <v>20</v>
      </c>
      <c r="J32" s="8">
        <f t="shared" si="0"/>
        <v>9</v>
      </c>
      <c r="K32" s="8" t="s">
        <v>18</v>
      </c>
      <c r="L32" s="10">
        <f t="shared" si="4"/>
        <v>0.49999999999999822</v>
      </c>
      <c r="M32" s="10">
        <f t="shared" si="1"/>
        <v>5.4999999999999805</v>
      </c>
      <c r="N32" s="10">
        <f t="shared" si="2"/>
        <v>0.33333333333335879</v>
      </c>
      <c r="O32" s="10">
        <f t="shared" si="3"/>
        <v>5.8333333333333393</v>
      </c>
      <c r="P32" s="11"/>
    </row>
    <row r="33" spans="1:16">
      <c r="A33" s="6">
        <v>29</v>
      </c>
      <c r="B33" s="7"/>
      <c r="C33" s="8">
        <v>3</v>
      </c>
      <c r="D33" s="9">
        <v>0.26527777777777778</v>
      </c>
      <c r="E33" s="9">
        <v>0.26898148148148149</v>
      </c>
      <c r="F33" s="9">
        <v>0.26921296296296299</v>
      </c>
      <c r="G33" s="9">
        <v>0.26597222222222222</v>
      </c>
      <c r="H33" s="9">
        <v>0.26944444444444443</v>
      </c>
      <c r="I33" s="8" t="s">
        <v>20</v>
      </c>
      <c r="J33" s="8">
        <f t="shared" si="0"/>
        <v>9</v>
      </c>
      <c r="K33" s="8" t="s">
        <v>18</v>
      </c>
      <c r="L33" s="10">
        <f t="shared" si="4"/>
        <v>0.49999999999999822</v>
      </c>
      <c r="M33" s="10">
        <f t="shared" si="1"/>
        <v>5.333333333333341</v>
      </c>
      <c r="N33" s="10">
        <f t="shared" si="2"/>
        <v>0.33333333333335879</v>
      </c>
      <c r="O33" s="10">
        <f t="shared" si="3"/>
        <v>5.6666666666666998</v>
      </c>
      <c r="P33" s="11"/>
    </row>
    <row r="34" spans="1:16">
      <c r="A34" s="6">
        <v>30</v>
      </c>
      <c r="B34" s="7"/>
      <c r="C34" s="8">
        <v>3</v>
      </c>
      <c r="D34" s="9">
        <v>0.265625</v>
      </c>
      <c r="E34" s="9">
        <v>0.26921296296296299</v>
      </c>
      <c r="F34" s="9">
        <v>0.26944444444444443</v>
      </c>
      <c r="G34" s="9">
        <v>0.26597222222222222</v>
      </c>
      <c r="H34" s="9">
        <v>0.26944444444444443</v>
      </c>
      <c r="I34" s="8" t="s">
        <v>20</v>
      </c>
      <c r="J34" s="8">
        <f t="shared" si="0"/>
        <v>9</v>
      </c>
      <c r="K34" s="8" t="s">
        <v>18</v>
      </c>
      <c r="L34" s="10">
        <f t="shared" si="4"/>
        <v>0.49999999999999822</v>
      </c>
      <c r="M34" s="10">
        <f t="shared" si="1"/>
        <v>5.1666666666667016</v>
      </c>
      <c r="N34" s="10">
        <f t="shared" si="2"/>
        <v>0.33333333333327886</v>
      </c>
      <c r="O34" s="10">
        <f t="shared" si="3"/>
        <v>5.4999999999999805</v>
      </c>
      <c r="P34" s="11"/>
    </row>
    <row r="35" spans="1:16">
      <c r="A35" s="6">
        <v>31</v>
      </c>
      <c r="B35" s="7"/>
      <c r="C35" s="8">
        <v>4</v>
      </c>
      <c r="D35" s="9">
        <v>0.26981481481481484</v>
      </c>
      <c r="E35" s="9">
        <v>0.27500000000000002</v>
      </c>
      <c r="F35" s="9">
        <v>0.27528935185185183</v>
      </c>
      <c r="G35" s="9">
        <v>0.27500000000000002</v>
      </c>
      <c r="H35" s="9">
        <v>0.27916666666666667</v>
      </c>
      <c r="I35" s="8" t="s">
        <v>20</v>
      </c>
      <c r="J35" s="8">
        <f t="shared" si="0"/>
        <v>9</v>
      </c>
      <c r="K35" s="8" t="s">
        <v>18</v>
      </c>
      <c r="L35" s="10">
        <f t="shared" si="4"/>
        <v>6.0333333333333705</v>
      </c>
      <c r="M35" s="10">
        <f t="shared" si="1"/>
        <v>7.4666666666666615</v>
      </c>
      <c r="N35" s="10">
        <f t="shared" si="2"/>
        <v>0.41666666666659857</v>
      </c>
      <c r="O35" s="10">
        <f t="shared" si="3"/>
        <v>7.88333333333326</v>
      </c>
      <c r="P35" s="11"/>
    </row>
    <row r="36" spans="1:16">
      <c r="A36" s="6">
        <v>32</v>
      </c>
      <c r="B36" s="7"/>
      <c r="C36" s="8">
        <v>4</v>
      </c>
      <c r="D36" s="9">
        <v>0.27018518518518519</v>
      </c>
      <c r="E36" s="9">
        <v>0.27528935185185183</v>
      </c>
      <c r="F36" s="9">
        <v>0.27559027777777778</v>
      </c>
      <c r="G36" s="9">
        <v>0.27500000000000002</v>
      </c>
      <c r="H36" s="9">
        <v>0.27916666666666667</v>
      </c>
      <c r="I36" s="8" t="s">
        <v>20</v>
      </c>
      <c r="J36" s="8">
        <f t="shared" si="0"/>
        <v>9</v>
      </c>
      <c r="K36" s="8" t="s">
        <v>18</v>
      </c>
      <c r="L36" s="10">
        <f t="shared" si="4"/>
        <v>0.53333333333331012</v>
      </c>
      <c r="M36" s="10">
        <f t="shared" si="1"/>
        <v>7.3499999999999499</v>
      </c>
      <c r="N36" s="10">
        <f t="shared" si="2"/>
        <v>0.43333333333337443</v>
      </c>
      <c r="O36" s="10">
        <f t="shared" si="3"/>
        <v>7.7833333333333243</v>
      </c>
      <c r="P36" s="11"/>
    </row>
    <row r="37" spans="1:16">
      <c r="A37" s="6">
        <v>33</v>
      </c>
      <c r="B37" s="7"/>
      <c r="C37" s="8">
        <v>4</v>
      </c>
      <c r="D37" s="9">
        <v>0.27055555555555555</v>
      </c>
      <c r="E37" s="9">
        <v>0.27559027777777778</v>
      </c>
      <c r="F37" s="9">
        <v>0.27589120370370368</v>
      </c>
      <c r="G37" s="9">
        <v>0.27500000000000002</v>
      </c>
      <c r="H37" s="9">
        <v>0.27916666666666667</v>
      </c>
      <c r="I37" s="8" t="s">
        <v>20</v>
      </c>
      <c r="J37" s="8">
        <f t="shared" ref="J37:J68" si="5">COUNTIF($I$5:$I$89,I37)</f>
        <v>9</v>
      </c>
      <c r="K37" s="8" t="s">
        <v>18</v>
      </c>
      <c r="L37" s="10">
        <f t="shared" si="4"/>
        <v>0.53333333333331012</v>
      </c>
      <c r="M37" s="10">
        <f t="shared" ref="M37:M68" si="6">(E37-D37)*1440</f>
        <v>7.2500000000000142</v>
      </c>
      <c r="N37" s="10">
        <f t="shared" ref="N37:N68" si="7">(F37-E37)*1440</f>
        <v>0.43333333333329449</v>
      </c>
      <c r="O37" s="10">
        <f t="shared" ref="O37:O68" si="8">(F37-D37)*1440</f>
        <v>7.6833333333333087</v>
      </c>
      <c r="P37" s="11"/>
    </row>
    <row r="38" spans="1:16">
      <c r="A38" s="6">
        <v>34</v>
      </c>
      <c r="B38" s="7"/>
      <c r="C38" s="8">
        <v>4</v>
      </c>
      <c r="D38" s="9">
        <v>0.2709259259259259</v>
      </c>
      <c r="E38" s="9">
        <v>0.27589120370370368</v>
      </c>
      <c r="F38" s="9">
        <v>0.27618055555555554</v>
      </c>
      <c r="G38" s="9">
        <v>0.27500000000000002</v>
      </c>
      <c r="H38" s="9">
        <v>0.27916666666666667</v>
      </c>
      <c r="I38" s="8" t="s">
        <v>21</v>
      </c>
      <c r="J38" s="8">
        <f t="shared" si="5"/>
        <v>11</v>
      </c>
      <c r="K38" s="8" t="s">
        <v>18</v>
      </c>
      <c r="L38" s="10">
        <f t="shared" ref="L38:L69" si="9">(D38-D37)*1440</f>
        <v>0.53333333333331012</v>
      </c>
      <c r="M38" s="10">
        <f t="shared" si="6"/>
        <v>7.1499999999999986</v>
      </c>
      <c r="N38" s="10">
        <f t="shared" si="7"/>
        <v>0.41666666666667851</v>
      </c>
      <c r="O38" s="10">
        <f t="shared" si="8"/>
        <v>7.5666666666666771</v>
      </c>
      <c r="P38" s="11"/>
    </row>
    <row r="39" spans="1:16">
      <c r="A39" s="6">
        <v>35</v>
      </c>
      <c r="B39" s="7"/>
      <c r="C39" s="8">
        <v>4</v>
      </c>
      <c r="D39" s="9">
        <v>0.27129629629629631</v>
      </c>
      <c r="E39" s="9">
        <v>0.27618055555555554</v>
      </c>
      <c r="F39" s="9">
        <v>0.27648148148148149</v>
      </c>
      <c r="G39" s="9">
        <v>0.27500000000000002</v>
      </c>
      <c r="H39" s="9">
        <v>0.27916666666666667</v>
      </c>
      <c r="I39" s="8" t="s">
        <v>21</v>
      </c>
      <c r="J39" s="8">
        <f t="shared" si="5"/>
        <v>11</v>
      </c>
      <c r="K39" s="8" t="s">
        <v>18</v>
      </c>
      <c r="L39" s="10">
        <f t="shared" si="9"/>
        <v>0.53333333333339006</v>
      </c>
      <c r="M39" s="10">
        <f t="shared" si="6"/>
        <v>7.033333333333287</v>
      </c>
      <c r="N39" s="10">
        <f t="shared" si="7"/>
        <v>0.43333333333337443</v>
      </c>
      <c r="O39" s="10">
        <f t="shared" si="8"/>
        <v>7.4666666666666615</v>
      </c>
      <c r="P39" s="11"/>
    </row>
    <row r="40" spans="1:16">
      <c r="A40" s="6">
        <v>36</v>
      </c>
      <c r="B40" s="7"/>
      <c r="C40" s="8">
        <v>4</v>
      </c>
      <c r="D40" s="9">
        <v>0.27166666666666667</v>
      </c>
      <c r="E40" s="9">
        <v>0.27648148148148149</v>
      </c>
      <c r="F40" s="9">
        <v>0.27678240740740739</v>
      </c>
      <c r="G40" s="9">
        <v>0.27500000000000002</v>
      </c>
      <c r="H40" s="9">
        <v>0.27916666666666667</v>
      </c>
      <c r="I40" s="8" t="s">
        <v>21</v>
      </c>
      <c r="J40" s="8">
        <f t="shared" si="5"/>
        <v>11</v>
      </c>
      <c r="K40" s="8" t="s">
        <v>18</v>
      </c>
      <c r="L40" s="10">
        <f t="shared" si="9"/>
        <v>0.53333333333331012</v>
      </c>
      <c r="M40" s="10">
        <f t="shared" si="6"/>
        <v>6.9333333333333513</v>
      </c>
      <c r="N40" s="10">
        <f t="shared" si="7"/>
        <v>0.43333333333329449</v>
      </c>
      <c r="O40" s="10">
        <f t="shared" si="8"/>
        <v>7.3666666666666458</v>
      </c>
      <c r="P40" s="11"/>
    </row>
    <row r="41" spans="1:16">
      <c r="A41" s="6">
        <v>37</v>
      </c>
      <c r="B41" s="7"/>
      <c r="C41" s="8">
        <v>4</v>
      </c>
      <c r="D41" s="9">
        <v>0.27203703703703702</v>
      </c>
      <c r="E41" s="9">
        <v>0.27678240740740739</v>
      </c>
      <c r="F41" s="9">
        <v>0.27708333333333335</v>
      </c>
      <c r="G41" s="9">
        <v>0.27500000000000002</v>
      </c>
      <c r="H41" s="9">
        <v>0.27916666666666667</v>
      </c>
      <c r="I41" s="8" t="s">
        <v>21</v>
      </c>
      <c r="J41" s="8">
        <f t="shared" si="5"/>
        <v>11</v>
      </c>
      <c r="K41" s="8" t="s">
        <v>18</v>
      </c>
      <c r="L41" s="10">
        <f t="shared" si="9"/>
        <v>0.53333333333331012</v>
      </c>
      <c r="M41" s="10">
        <f t="shared" si="6"/>
        <v>6.8333333333333357</v>
      </c>
      <c r="N41" s="10">
        <f t="shared" si="7"/>
        <v>0.43333333333337443</v>
      </c>
      <c r="O41" s="10">
        <f t="shared" si="8"/>
        <v>7.2666666666667101</v>
      </c>
      <c r="P41" s="11"/>
    </row>
    <row r="42" spans="1:16">
      <c r="A42" s="6">
        <v>38</v>
      </c>
      <c r="B42" s="7"/>
      <c r="C42" s="8">
        <v>4</v>
      </c>
      <c r="D42" s="9">
        <v>0.27240740740740743</v>
      </c>
      <c r="E42" s="9">
        <v>0.27708333333333335</v>
      </c>
      <c r="F42" s="9">
        <v>0.27737268518518521</v>
      </c>
      <c r="G42" s="9">
        <v>0.27500000000000002</v>
      </c>
      <c r="H42" s="9">
        <v>0.27916666666666667</v>
      </c>
      <c r="I42" s="8" t="s">
        <v>21</v>
      </c>
      <c r="J42" s="8">
        <f t="shared" si="5"/>
        <v>11</v>
      </c>
      <c r="K42" s="8" t="s">
        <v>18</v>
      </c>
      <c r="L42" s="10">
        <f t="shared" si="9"/>
        <v>0.53333333333339006</v>
      </c>
      <c r="M42" s="10">
        <f t="shared" si="6"/>
        <v>6.7333333333333201</v>
      </c>
      <c r="N42" s="10">
        <f t="shared" si="7"/>
        <v>0.41666666666667851</v>
      </c>
      <c r="O42" s="10">
        <f t="shared" si="8"/>
        <v>7.1499999999999986</v>
      </c>
      <c r="P42" s="11"/>
    </row>
    <row r="43" spans="1:16">
      <c r="A43" s="6">
        <v>39</v>
      </c>
      <c r="B43" s="7"/>
      <c r="C43" s="8">
        <v>4</v>
      </c>
      <c r="D43" s="9">
        <v>0.27277777777777779</v>
      </c>
      <c r="E43" s="9">
        <v>0.27737268518518521</v>
      </c>
      <c r="F43" s="9">
        <v>0.27767361111111111</v>
      </c>
      <c r="G43" s="9">
        <v>0.27500000000000002</v>
      </c>
      <c r="H43" s="9">
        <v>0.27916666666666667</v>
      </c>
      <c r="I43" s="8" t="s">
        <v>21</v>
      </c>
      <c r="J43" s="8">
        <f t="shared" si="5"/>
        <v>11</v>
      </c>
      <c r="K43" s="8" t="s">
        <v>18</v>
      </c>
      <c r="L43" s="10">
        <f t="shared" si="9"/>
        <v>0.53333333333331012</v>
      </c>
      <c r="M43" s="10">
        <f t="shared" si="6"/>
        <v>6.6166666666666885</v>
      </c>
      <c r="N43" s="10">
        <f t="shared" si="7"/>
        <v>0.43333333333329449</v>
      </c>
      <c r="O43" s="10">
        <f t="shared" si="8"/>
        <v>7.0499999999999829</v>
      </c>
      <c r="P43" s="11"/>
    </row>
    <row r="44" spans="1:16">
      <c r="A44" s="6">
        <v>40</v>
      </c>
      <c r="B44" s="7"/>
      <c r="C44" s="8">
        <v>4</v>
      </c>
      <c r="D44" s="9">
        <v>0.27314814814814814</v>
      </c>
      <c r="E44" s="9">
        <v>0.27767361111111111</v>
      </c>
      <c r="F44" s="9">
        <v>0.27797453703703706</v>
      </c>
      <c r="G44" s="9">
        <v>0.27500000000000002</v>
      </c>
      <c r="H44" s="9">
        <v>0.27916666666666667</v>
      </c>
      <c r="I44" s="8" t="s">
        <v>21</v>
      </c>
      <c r="J44" s="8">
        <f t="shared" si="5"/>
        <v>11</v>
      </c>
      <c r="K44" s="8" t="s">
        <v>18</v>
      </c>
      <c r="L44" s="10">
        <f t="shared" si="9"/>
        <v>0.53333333333331012</v>
      </c>
      <c r="M44" s="10">
        <f t="shared" si="6"/>
        <v>6.5166666666666728</v>
      </c>
      <c r="N44" s="10">
        <f t="shared" si="7"/>
        <v>0.43333333333337443</v>
      </c>
      <c r="O44" s="10">
        <f t="shared" si="8"/>
        <v>6.9500000000000473</v>
      </c>
      <c r="P44" s="11"/>
    </row>
    <row r="45" spans="1:16">
      <c r="A45" s="6">
        <v>41</v>
      </c>
      <c r="B45" s="7"/>
      <c r="C45" s="8">
        <v>4</v>
      </c>
      <c r="D45" s="9">
        <v>0.27351851851851849</v>
      </c>
      <c r="E45" s="9">
        <v>0.27797453703703706</v>
      </c>
      <c r="F45" s="9">
        <v>0.27826388888888887</v>
      </c>
      <c r="G45" s="9">
        <v>0.27500000000000002</v>
      </c>
      <c r="H45" s="9">
        <v>0.27916666666666667</v>
      </c>
      <c r="I45" s="8" t="s">
        <v>21</v>
      </c>
      <c r="J45" s="8">
        <f t="shared" si="5"/>
        <v>11</v>
      </c>
      <c r="K45" s="8" t="s">
        <v>18</v>
      </c>
      <c r="L45" s="10">
        <f t="shared" si="9"/>
        <v>0.53333333333331012</v>
      </c>
      <c r="M45" s="10">
        <f t="shared" si="6"/>
        <v>6.4166666666667371</v>
      </c>
      <c r="N45" s="10">
        <f t="shared" si="7"/>
        <v>0.41666666666659857</v>
      </c>
      <c r="O45" s="10">
        <f t="shared" si="8"/>
        <v>6.8333333333333357</v>
      </c>
      <c r="P45" s="11"/>
    </row>
    <row r="46" spans="1:16">
      <c r="A46" s="6">
        <v>42</v>
      </c>
      <c r="B46" s="7"/>
      <c r="C46" s="8">
        <v>4</v>
      </c>
      <c r="D46" s="9">
        <v>0.2738888888888889</v>
      </c>
      <c r="E46" s="9">
        <v>0.27826388888888887</v>
      </c>
      <c r="F46" s="9">
        <v>0.27856481481481482</v>
      </c>
      <c r="G46" s="9">
        <v>0.27500000000000002</v>
      </c>
      <c r="H46" s="9">
        <v>0.27916666666666667</v>
      </c>
      <c r="I46" s="8" t="s">
        <v>21</v>
      </c>
      <c r="J46" s="8">
        <f t="shared" si="5"/>
        <v>11</v>
      </c>
      <c r="K46" s="8" t="s">
        <v>18</v>
      </c>
      <c r="L46" s="10">
        <f t="shared" si="9"/>
        <v>0.53333333333339006</v>
      </c>
      <c r="M46" s="10">
        <f t="shared" si="6"/>
        <v>6.2999999999999456</v>
      </c>
      <c r="N46" s="10">
        <f t="shared" si="7"/>
        <v>0.43333333333337443</v>
      </c>
      <c r="O46" s="10">
        <f t="shared" si="8"/>
        <v>6.7333333333333201</v>
      </c>
      <c r="P46" s="11"/>
    </row>
    <row r="47" spans="1:16">
      <c r="A47" s="6">
        <v>43</v>
      </c>
      <c r="B47" s="7"/>
      <c r="C47" s="8">
        <v>4</v>
      </c>
      <c r="D47" s="9">
        <v>0.27425925925925926</v>
      </c>
      <c r="E47" s="9">
        <v>0.27856481481481482</v>
      </c>
      <c r="F47" s="9">
        <v>0.27886574074074072</v>
      </c>
      <c r="G47" s="9">
        <v>0.27500000000000002</v>
      </c>
      <c r="H47" s="9">
        <v>0.27916666666666667</v>
      </c>
      <c r="I47" s="8" t="s">
        <v>21</v>
      </c>
      <c r="J47" s="8">
        <f t="shared" si="5"/>
        <v>11</v>
      </c>
      <c r="K47" s="8" t="s">
        <v>18</v>
      </c>
      <c r="L47" s="10">
        <f t="shared" si="9"/>
        <v>0.53333333333331012</v>
      </c>
      <c r="M47" s="10">
        <f t="shared" si="6"/>
        <v>6.2000000000000099</v>
      </c>
      <c r="N47" s="10">
        <f t="shared" si="7"/>
        <v>0.43333333333329449</v>
      </c>
      <c r="O47" s="10">
        <f t="shared" si="8"/>
        <v>6.6333333333333044</v>
      </c>
      <c r="P47" s="11"/>
    </row>
    <row r="48" spans="1:16">
      <c r="A48" s="6">
        <v>44</v>
      </c>
      <c r="B48" s="7"/>
      <c r="C48" s="8">
        <v>4</v>
      </c>
      <c r="D48" s="9">
        <v>0.27462962962962961</v>
      </c>
      <c r="E48" s="9">
        <v>0.27886574074074072</v>
      </c>
      <c r="F48" s="9">
        <v>0.27916666666666667</v>
      </c>
      <c r="G48" s="9">
        <v>0.27500000000000002</v>
      </c>
      <c r="H48" s="9">
        <v>0.27916666666666667</v>
      </c>
      <c r="I48" s="8" t="s">
        <v>21</v>
      </c>
      <c r="J48" s="8">
        <f t="shared" si="5"/>
        <v>11</v>
      </c>
      <c r="K48" s="8" t="s">
        <v>18</v>
      </c>
      <c r="L48" s="10">
        <f t="shared" si="9"/>
        <v>0.53333333333331012</v>
      </c>
      <c r="M48" s="10">
        <f t="shared" si="6"/>
        <v>6.0999999999999943</v>
      </c>
      <c r="N48" s="10">
        <f t="shared" si="7"/>
        <v>0.43333333333337443</v>
      </c>
      <c r="O48" s="10">
        <f t="shared" si="8"/>
        <v>6.5333333333333687</v>
      </c>
      <c r="P48" s="11"/>
    </row>
    <row r="49" spans="1:16">
      <c r="A49" s="6">
        <v>45</v>
      </c>
      <c r="B49" s="7"/>
      <c r="C49" s="8">
        <v>5</v>
      </c>
      <c r="D49" s="9">
        <v>0.27986111111111112</v>
      </c>
      <c r="E49" s="9">
        <v>0.28402777777777777</v>
      </c>
      <c r="F49" s="9">
        <v>0.28449074074074077</v>
      </c>
      <c r="G49" s="9">
        <v>0.28402777777777777</v>
      </c>
      <c r="H49" s="9">
        <v>0.28680555555555554</v>
      </c>
      <c r="I49" s="8" t="s">
        <v>22</v>
      </c>
      <c r="J49" s="8">
        <f t="shared" si="5"/>
        <v>6</v>
      </c>
      <c r="K49" s="8" t="s">
        <v>18</v>
      </c>
      <c r="L49" s="10">
        <f t="shared" si="9"/>
        <v>7.5333333333333652</v>
      </c>
      <c r="M49" s="10">
        <f t="shared" si="6"/>
        <v>5.9999999999999787</v>
      </c>
      <c r="N49" s="10">
        <f t="shared" si="7"/>
        <v>0.66666666666671759</v>
      </c>
      <c r="O49" s="10">
        <f t="shared" si="8"/>
        <v>6.6666666666666963</v>
      </c>
      <c r="P49" s="11"/>
    </row>
    <row r="50" spans="1:16">
      <c r="A50" s="6">
        <v>46</v>
      </c>
      <c r="B50" s="7"/>
      <c r="C50" s="8">
        <v>5</v>
      </c>
      <c r="D50" s="9">
        <v>0.28055555555555556</v>
      </c>
      <c r="E50" s="9">
        <v>0.28449074074074077</v>
      </c>
      <c r="F50" s="9">
        <v>0.28495370370370371</v>
      </c>
      <c r="G50" s="9">
        <v>0.28402777777777777</v>
      </c>
      <c r="H50" s="9">
        <v>0.28680555555555554</v>
      </c>
      <c r="I50" s="8" t="s">
        <v>22</v>
      </c>
      <c r="J50" s="8">
        <f t="shared" si="5"/>
        <v>6</v>
      </c>
      <c r="K50" s="8" t="s">
        <v>18</v>
      </c>
      <c r="L50" s="10">
        <f t="shared" si="9"/>
        <v>0.99999999999999645</v>
      </c>
      <c r="M50" s="10">
        <f t="shared" si="6"/>
        <v>5.6666666666666998</v>
      </c>
      <c r="N50" s="10">
        <f t="shared" si="7"/>
        <v>0.66666666666663765</v>
      </c>
      <c r="O50" s="10">
        <f t="shared" si="8"/>
        <v>6.3333333333333375</v>
      </c>
      <c r="P50" s="11"/>
    </row>
    <row r="51" spans="1:16">
      <c r="A51" s="6">
        <v>47</v>
      </c>
      <c r="B51" s="7"/>
      <c r="C51" s="8">
        <v>5</v>
      </c>
      <c r="D51" s="9">
        <v>0.28125</v>
      </c>
      <c r="E51" s="9">
        <v>0.28495370370370371</v>
      </c>
      <c r="F51" s="9">
        <v>0.28541666666666665</v>
      </c>
      <c r="G51" s="9">
        <v>0.28402777777777777</v>
      </c>
      <c r="H51" s="9">
        <v>0.28680555555555554</v>
      </c>
      <c r="I51" s="8" t="s">
        <v>22</v>
      </c>
      <c r="J51" s="8">
        <f t="shared" si="5"/>
        <v>6</v>
      </c>
      <c r="K51" s="8" t="s">
        <v>18</v>
      </c>
      <c r="L51" s="10">
        <f t="shared" si="9"/>
        <v>0.99999999999999645</v>
      </c>
      <c r="M51" s="10">
        <f t="shared" si="6"/>
        <v>5.333333333333341</v>
      </c>
      <c r="N51" s="10">
        <f t="shared" si="7"/>
        <v>0.66666666666663765</v>
      </c>
      <c r="O51" s="10">
        <f t="shared" si="8"/>
        <v>5.9999999999999787</v>
      </c>
      <c r="P51" s="11"/>
    </row>
    <row r="52" spans="1:16">
      <c r="A52" s="6">
        <v>48</v>
      </c>
      <c r="B52" s="7"/>
      <c r="C52" s="8">
        <v>5</v>
      </c>
      <c r="D52" s="9">
        <v>0.28194444444444444</v>
      </c>
      <c r="E52" s="9">
        <v>0.28541666666666665</v>
      </c>
      <c r="F52" s="9">
        <v>0.28587962962962965</v>
      </c>
      <c r="G52" s="9">
        <v>0.28402777777777777</v>
      </c>
      <c r="H52" s="9">
        <v>0.28680555555555554</v>
      </c>
      <c r="I52" s="8" t="s">
        <v>22</v>
      </c>
      <c r="J52" s="8">
        <f t="shared" si="5"/>
        <v>6</v>
      </c>
      <c r="K52" s="8" t="s">
        <v>18</v>
      </c>
      <c r="L52" s="10">
        <f t="shared" si="9"/>
        <v>0.99999999999999645</v>
      </c>
      <c r="M52" s="10">
        <f t="shared" si="6"/>
        <v>4.9999999999999822</v>
      </c>
      <c r="N52" s="10">
        <f t="shared" si="7"/>
        <v>0.66666666666671759</v>
      </c>
      <c r="O52" s="10">
        <f t="shared" si="8"/>
        <v>5.6666666666666998</v>
      </c>
      <c r="P52" s="11"/>
    </row>
    <row r="53" spans="1:16">
      <c r="A53" s="6">
        <v>49</v>
      </c>
      <c r="B53" s="7"/>
      <c r="C53" s="8">
        <v>5</v>
      </c>
      <c r="D53" s="9">
        <v>0.28263888888888888</v>
      </c>
      <c r="E53" s="9">
        <v>0.28587962962962965</v>
      </c>
      <c r="F53" s="9">
        <v>0.28634259259259259</v>
      </c>
      <c r="G53" s="9">
        <v>0.28402777777777777</v>
      </c>
      <c r="H53" s="9">
        <v>0.28680555555555554</v>
      </c>
      <c r="I53" s="8" t="s">
        <v>22</v>
      </c>
      <c r="J53" s="8">
        <f t="shared" si="5"/>
        <v>6</v>
      </c>
      <c r="K53" s="8" t="s">
        <v>18</v>
      </c>
      <c r="L53" s="10">
        <f t="shared" si="9"/>
        <v>0.99999999999999645</v>
      </c>
      <c r="M53" s="10">
        <f t="shared" si="6"/>
        <v>4.6666666666667034</v>
      </c>
      <c r="N53" s="10">
        <f t="shared" si="7"/>
        <v>0.66666666666663765</v>
      </c>
      <c r="O53" s="10">
        <f t="shared" si="8"/>
        <v>5.333333333333341</v>
      </c>
      <c r="P53" s="11"/>
    </row>
    <row r="54" spans="1:16">
      <c r="A54" s="6">
        <v>50</v>
      </c>
      <c r="B54" s="7"/>
      <c r="C54" s="8">
        <v>5</v>
      </c>
      <c r="D54" s="9">
        <v>0.28333333333333333</v>
      </c>
      <c r="E54" s="9">
        <v>0.28634259259259259</v>
      </c>
      <c r="F54" s="9">
        <v>0.28680555555555554</v>
      </c>
      <c r="G54" s="9">
        <v>0.28402777777777777</v>
      </c>
      <c r="H54" s="9">
        <v>0.28680555555555554</v>
      </c>
      <c r="I54" s="8" t="s">
        <v>22</v>
      </c>
      <c r="J54" s="8">
        <f t="shared" si="5"/>
        <v>6</v>
      </c>
      <c r="K54" s="8" t="s">
        <v>18</v>
      </c>
      <c r="L54" s="10">
        <f t="shared" si="9"/>
        <v>0.99999999999999645</v>
      </c>
      <c r="M54" s="10">
        <f t="shared" si="6"/>
        <v>4.3333333333333446</v>
      </c>
      <c r="N54" s="10">
        <f t="shared" si="7"/>
        <v>0.66666666666663765</v>
      </c>
      <c r="O54" s="10">
        <f t="shared" si="8"/>
        <v>4.9999999999999822</v>
      </c>
      <c r="P54" s="11"/>
    </row>
    <row r="55" spans="1:16">
      <c r="A55" s="6">
        <v>51</v>
      </c>
      <c r="B55" s="7"/>
      <c r="C55" s="8">
        <v>6</v>
      </c>
      <c r="D55" s="9">
        <v>0.2900462962962963</v>
      </c>
      <c r="E55" s="9">
        <v>0.29652777777777778</v>
      </c>
      <c r="F55" s="9">
        <v>0.296875</v>
      </c>
      <c r="G55" s="9">
        <v>0.29652777777777778</v>
      </c>
      <c r="H55" s="9">
        <v>0.29722222222222222</v>
      </c>
      <c r="I55" s="8" t="s">
        <v>23</v>
      </c>
      <c r="J55" s="8">
        <f t="shared" si="5"/>
        <v>1</v>
      </c>
      <c r="K55" s="8" t="s">
        <v>18</v>
      </c>
      <c r="L55" s="10">
        <f t="shared" si="9"/>
        <v>9.6666666666666856</v>
      </c>
      <c r="M55" s="10">
        <f t="shared" si="6"/>
        <v>9.3333333333333268</v>
      </c>
      <c r="N55" s="10">
        <f t="shared" si="7"/>
        <v>0.49999999999999822</v>
      </c>
      <c r="O55" s="10">
        <f t="shared" si="8"/>
        <v>9.833333333333325</v>
      </c>
      <c r="P55" s="11"/>
    </row>
    <row r="56" spans="1:16">
      <c r="A56" s="6">
        <v>52</v>
      </c>
      <c r="B56" s="7"/>
      <c r="C56" s="8">
        <v>6</v>
      </c>
      <c r="D56" s="9">
        <v>0.29328703703703701</v>
      </c>
      <c r="E56" s="9">
        <v>0.296875</v>
      </c>
      <c r="F56" s="9">
        <v>0.29722222222222222</v>
      </c>
      <c r="G56" s="9">
        <v>0.29652777777777778</v>
      </c>
      <c r="H56" s="9">
        <v>0.29722222222222222</v>
      </c>
      <c r="I56" s="8" t="s">
        <v>24</v>
      </c>
      <c r="J56" s="8">
        <f t="shared" si="5"/>
        <v>1</v>
      </c>
      <c r="K56" s="8" t="s">
        <v>18</v>
      </c>
      <c r="L56" s="10">
        <f t="shared" si="9"/>
        <v>4.6666666666666234</v>
      </c>
      <c r="M56" s="10">
        <f t="shared" si="6"/>
        <v>5.1666666666667016</v>
      </c>
      <c r="N56" s="10">
        <f t="shared" si="7"/>
        <v>0.49999999999999822</v>
      </c>
      <c r="O56" s="10">
        <f t="shared" si="8"/>
        <v>5.6666666666666998</v>
      </c>
      <c r="P56" s="11"/>
    </row>
    <row r="57" spans="1:16">
      <c r="A57" s="6">
        <v>53</v>
      </c>
      <c r="B57" s="7"/>
      <c r="C57" s="8">
        <v>9</v>
      </c>
      <c r="D57" s="9">
        <v>0.29942129629629627</v>
      </c>
      <c r="E57" s="9">
        <v>0.3034722222222222</v>
      </c>
      <c r="F57" s="9">
        <v>0.30375000000000002</v>
      </c>
      <c r="G57" s="9">
        <v>0.3034722222222222</v>
      </c>
      <c r="H57" s="9">
        <v>0.30486111111111114</v>
      </c>
      <c r="I57" s="8" t="s">
        <v>25</v>
      </c>
      <c r="J57" s="8">
        <f t="shared" si="5"/>
        <v>5</v>
      </c>
      <c r="K57" s="8" t="s">
        <v>18</v>
      </c>
      <c r="L57" s="10">
        <f t="shared" si="9"/>
        <v>8.8333333333333286</v>
      </c>
      <c r="M57" s="10">
        <f t="shared" si="6"/>
        <v>5.8333333333333393</v>
      </c>
      <c r="N57" s="10">
        <f t="shared" si="7"/>
        <v>0.40000000000006253</v>
      </c>
      <c r="O57" s="10">
        <f t="shared" si="8"/>
        <v>6.2333333333334018</v>
      </c>
      <c r="P57" s="11"/>
    </row>
    <row r="58" spans="1:16">
      <c r="A58" s="6">
        <v>54</v>
      </c>
      <c r="B58" s="7"/>
      <c r="C58" s="8">
        <v>9</v>
      </c>
      <c r="D58" s="9">
        <v>0.30023148148148149</v>
      </c>
      <c r="E58" s="9">
        <v>0.30375000000000002</v>
      </c>
      <c r="F58" s="9">
        <v>0.30402777777777779</v>
      </c>
      <c r="G58" s="9">
        <v>0.3034722222222222</v>
      </c>
      <c r="H58" s="9">
        <v>0.30486111111111114</v>
      </c>
      <c r="I58" s="8" t="s">
        <v>25</v>
      </c>
      <c r="J58" s="8">
        <f t="shared" si="5"/>
        <v>5</v>
      </c>
      <c r="K58" s="8" t="s">
        <v>18</v>
      </c>
      <c r="L58" s="10">
        <f t="shared" si="9"/>
        <v>1.1666666666667158</v>
      </c>
      <c r="M58" s="10">
        <f t="shared" si="6"/>
        <v>5.066666666666686</v>
      </c>
      <c r="N58" s="10">
        <f t="shared" si="7"/>
        <v>0.39999999999998259</v>
      </c>
      <c r="O58" s="10">
        <f t="shared" si="8"/>
        <v>5.4666666666666686</v>
      </c>
      <c r="P58" s="11"/>
    </row>
    <row r="59" spans="1:16">
      <c r="A59" s="6">
        <v>55</v>
      </c>
      <c r="B59" s="7"/>
      <c r="C59" s="8">
        <v>9</v>
      </c>
      <c r="D59" s="9">
        <v>0.30104166666666665</v>
      </c>
      <c r="E59" s="9">
        <v>0.30402777777777779</v>
      </c>
      <c r="F59" s="9">
        <v>0.30430555555555555</v>
      </c>
      <c r="G59" s="9">
        <v>0.3034722222222222</v>
      </c>
      <c r="H59" s="9">
        <v>0.30486111111111114</v>
      </c>
      <c r="I59" s="8" t="s">
        <v>25</v>
      </c>
      <c r="J59" s="8">
        <f t="shared" si="5"/>
        <v>5</v>
      </c>
      <c r="K59" s="8" t="s">
        <v>18</v>
      </c>
      <c r="L59" s="10">
        <f t="shared" si="9"/>
        <v>1.1666666666666359</v>
      </c>
      <c r="M59" s="10">
        <f t="shared" si="6"/>
        <v>4.3000000000000327</v>
      </c>
      <c r="N59" s="10">
        <f t="shared" si="7"/>
        <v>0.39999999999998259</v>
      </c>
      <c r="O59" s="10">
        <f t="shared" si="8"/>
        <v>4.7000000000000153</v>
      </c>
      <c r="P59" s="11"/>
    </row>
    <row r="60" spans="1:16">
      <c r="A60" s="6">
        <v>56</v>
      </c>
      <c r="B60" s="7"/>
      <c r="C60" s="8">
        <v>9</v>
      </c>
      <c r="D60" s="9">
        <v>0.30185185185185187</v>
      </c>
      <c r="E60" s="9">
        <v>0.30430555555555555</v>
      </c>
      <c r="F60" s="9">
        <v>0.30458333333333332</v>
      </c>
      <c r="G60" s="9">
        <v>0.3034722222222222</v>
      </c>
      <c r="H60" s="9">
        <v>0.30486111111111114</v>
      </c>
      <c r="I60" s="8" t="s">
        <v>25</v>
      </c>
      <c r="J60" s="8">
        <f t="shared" si="5"/>
        <v>5</v>
      </c>
      <c r="K60" s="8" t="s">
        <v>18</v>
      </c>
      <c r="L60" s="10">
        <f t="shared" si="9"/>
        <v>1.1666666666667158</v>
      </c>
      <c r="M60" s="10">
        <f t="shared" si="6"/>
        <v>3.5333333333332995</v>
      </c>
      <c r="N60" s="10">
        <f t="shared" si="7"/>
        <v>0.39999999999998259</v>
      </c>
      <c r="O60" s="10">
        <f t="shared" si="8"/>
        <v>3.9333333333332821</v>
      </c>
      <c r="P60" s="11"/>
    </row>
    <row r="61" spans="1:16">
      <c r="A61" s="6">
        <v>57</v>
      </c>
      <c r="B61" s="7"/>
      <c r="C61" s="8">
        <v>9</v>
      </c>
      <c r="D61" s="9">
        <v>0.30266203703703703</v>
      </c>
      <c r="E61" s="9">
        <v>0.30458333333333332</v>
      </c>
      <c r="F61" s="9">
        <v>0.30486111111111114</v>
      </c>
      <c r="G61" s="9">
        <v>0.3034722222222222</v>
      </c>
      <c r="H61" s="9">
        <v>0.30486111111111114</v>
      </c>
      <c r="I61" s="8" t="s">
        <v>25</v>
      </c>
      <c r="J61" s="8">
        <f t="shared" si="5"/>
        <v>5</v>
      </c>
      <c r="K61" s="8" t="s">
        <v>18</v>
      </c>
      <c r="L61" s="10">
        <f t="shared" si="9"/>
        <v>1.1666666666666359</v>
      </c>
      <c r="M61" s="10">
        <f t="shared" si="6"/>
        <v>2.7666666666666462</v>
      </c>
      <c r="N61" s="10">
        <f t="shared" si="7"/>
        <v>0.40000000000006253</v>
      </c>
      <c r="O61" s="10">
        <f t="shared" si="8"/>
        <v>3.1666666666667087</v>
      </c>
      <c r="P61" s="11"/>
    </row>
    <row r="62" spans="1:16">
      <c r="A62" s="6">
        <v>58</v>
      </c>
      <c r="B62" s="7"/>
      <c r="C62" s="8">
        <v>10</v>
      </c>
      <c r="D62" s="9">
        <v>0.3064236111111111</v>
      </c>
      <c r="E62" s="9">
        <v>0.31111111111111112</v>
      </c>
      <c r="F62" s="9">
        <v>0.31134259259259262</v>
      </c>
      <c r="G62" s="9">
        <v>0.31111111111111112</v>
      </c>
      <c r="H62" s="9">
        <v>0.31180555555555556</v>
      </c>
      <c r="I62" s="8" t="s">
        <v>26</v>
      </c>
      <c r="J62" s="8">
        <f t="shared" si="5"/>
        <v>3</v>
      </c>
      <c r="K62" s="8" t="s">
        <v>18</v>
      </c>
      <c r="L62" s="10">
        <f t="shared" si="9"/>
        <v>5.4166666666666607</v>
      </c>
      <c r="M62" s="10">
        <f t="shared" si="6"/>
        <v>6.750000000000016</v>
      </c>
      <c r="N62" s="10">
        <f t="shared" si="7"/>
        <v>0.33333333333335879</v>
      </c>
      <c r="O62" s="10">
        <f t="shared" si="8"/>
        <v>7.0833333333333748</v>
      </c>
      <c r="P62" s="11"/>
    </row>
    <row r="63" spans="1:16">
      <c r="A63" s="6">
        <v>59</v>
      </c>
      <c r="B63" s="7"/>
      <c r="C63" s="8">
        <v>10</v>
      </c>
      <c r="D63" s="9">
        <v>0.30798611111111113</v>
      </c>
      <c r="E63" s="9">
        <v>0.31134259259259262</v>
      </c>
      <c r="F63" s="9">
        <v>0.31157407407407406</v>
      </c>
      <c r="G63" s="9">
        <v>0.31111111111111112</v>
      </c>
      <c r="H63" s="9">
        <v>0.31180555555555556</v>
      </c>
      <c r="I63" s="8" t="s">
        <v>26</v>
      </c>
      <c r="J63" s="8">
        <f t="shared" si="5"/>
        <v>3</v>
      </c>
      <c r="K63" s="8" t="s">
        <v>18</v>
      </c>
      <c r="L63" s="10">
        <f t="shared" si="9"/>
        <v>2.250000000000032</v>
      </c>
      <c r="M63" s="10">
        <f t="shared" si="6"/>
        <v>4.8333333333333428</v>
      </c>
      <c r="N63" s="10">
        <f t="shared" si="7"/>
        <v>0.33333333333327886</v>
      </c>
      <c r="O63" s="10">
        <f t="shared" si="8"/>
        <v>5.1666666666666217</v>
      </c>
      <c r="P63" s="11"/>
    </row>
    <row r="64" spans="1:16">
      <c r="A64" s="6">
        <v>60</v>
      </c>
      <c r="B64" s="7"/>
      <c r="C64" s="8">
        <v>10</v>
      </c>
      <c r="D64" s="9">
        <v>0.30954861111111109</v>
      </c>
      <c r="E64" s="9">
        <v>0.31157407407407406</v>
      </c>
      <c r="F64" s="9">
        <v>0.31180555555555556</v>
      </c>
      <c r="G64" s="9">
        <v>0.31111111111111112</v>
      </c>
      <c r="H64" s="9">
        <v>0.31180555555555556</v>
      </c>
      <c r="I64" s="8" t="s">
        <v>26</v>
      </c>
      <c r="J64" s="8">
        <f t="shared" si="5"/>
        <v>3</v>
      </c>
      <c r="K64" s="8" t="s">
        <v>18</v>
      </c>
      <c r="L64" s="10">
        <f t="shared" si="9"/>
        <v>2.249999999999952</v>
      </c>
      <c r="M64" s="10">
        <f t="shared" si="6"/>
        <v>2.9166666666666696</v>
      </c>
      <c r="N64" s="10">
        <f t="shared" si="7"/>
        <v>0.33333333333335879</v>
      </c>
      <c r="O64" s="10">
        <f t="shared" si="8"/>
        <v>3.2500000000000284</v>
      </c>
      <c r="P64" s="11"/>
    </row>
    <row r="65" spans="1:16">
      <c r="A65" s="6">
        <v>61</v>
      </c>
      <c r="B65" s="7"/>
      <c r="C65" s="8">
        <v>11</v>
      </c>
      <c r="D65" s="9">
        <v>0.3125</v>
      </c>
      <c r="E65" s="9">
        <v>0.31458333333333333</v>
      </c>
      <c r="F65" s="9">
        <v>0.31481481481481483</v>
      </c>
      <c r="G65" s="9">
        <v>0.31458333333333333</v>
      </c>
      <c r="H65" s="9">
        <v>0.31527777777777777</v>
      </c>
      <c r="I65" s="8" t="s">
        <v>27</v>
      </c>
      <c r="J65" s="8">
        <f t="shared" si="5"/>
        <v>7</v>
      </c>
      <c r="K65" s="8" t="s">
        <v>18</v>
      </c>
      <c r="L65" s="10">
        <f t="shared" si="9"/>
        <v>4.2500000000000249</v>
      </c>
      <c r="M65" s="10">
        <f t="shared" si="6"/>
        <v>2.9999999999999893</v>
      </c>
      <c r="N65" s="10">
        <f t="shared" si="7"/>
        <v>0.33333333333335879</v>
      </c>
      <c r="O65" s="10">
        <f t="shared" si="8"/>
        <v>3.3333333333333481</v>
      </c>
      <c r="P65" s="11"/>
    </row>
    <row r="66" spans="1:16">
      <c r="A66" s="6">
        <v>62</v>
      </c>
      <c r="B66" s="7"/>
      <c r="C66" s="8">
        <v>11</v>
      </c>
      <c r="D66" s="9">
        <v>0.31319444444444444</v>
      </c>
      <c r="E66" s="9">
        <v>0.31481481481481483</v>
      </c>
      <c r="F66" s="9">
        <v>0.31504629629629627</v>
      </c>
      <c r="G66" s="9">
        <v>0.31458333333333333</v>
      </c>
      <c r="H66" s="9">
        <v>0.31527777777777777</v>
      </c>
      <c r="I66" s="8" t="s">
        <v>27</v>
      </c>
      <c r="J66" s="8">
        <f t="shared" si="5"/>
        <v>7</v>
      </c>
      <c r="K66" s="8" t="s">
        <v>18</v>
      </c>
      <c r="L66" s="10">
        <f t="shared" si="9"/>
        <v>0.99999999999999645</v>
      </c>
      <c r="M66" s="10">
        <f t="shared" si="6"/>
        <v>2.3333333333333517</v>
      </c>
      <c r="N66" s="10">
        <f t="shared" si="7"/>
        <v>0.33333333333327886</v>
      </c>
      <c r="O66" s="10">
        <f t="shared" si="8"/>
        <v>2.6666666666666305</v>
      </c>
      <c r="P66" s="11"/>
    </row>
    <row r="67" spans="1:16">
      <c r="A67" s="6">
        <v>63</v>
      </c>
      <c r="B67" s="7"/>
      <c r="C67" s="8">
        <v>11</v>
      </c>
      <c r="D67" s="9">
        <v>0.31388888888888888</v>
      </c>
      <c r="E67" s="9">
        <v>0.31504629629629627</v>
      </c>
      <c r="F67" s="9">
        <v>0.31527777777777777</v>
      </c>
      <c r="G67" s="9">
        <v>0.31458333333333333</v>
      </c>
      <c r="H67" s="9">
        <v>0.31527777777777777</v>
      </c>
      <c r="I67" s="8" t="s">
        <v>27</v>
      </c>
      <c r="J67" s="8">
        <f t="shared" si="5"/>
        <v>7</v>
      </c>
      <c r="K67" s="8" t="s">
        <v>18</v>
      </c>
      <c r="L67" s="10">
        <f t="shared" si="9"/>
        <v>0.99999999999999645</v>
      </c>
      <c r="M67" s="10">
        <f t="shared" si="6"/>
        <v>1.6666666666666341</v>
      </c>
      <c r="N67" s="10">
        <f t="shared" si="7"/>
        <v>0.33333333333335879</v>
      </c>
      <c r="O67" s="10">
        <f t="shared" si="8"/>
        <v>1.9999999999999929</v>
      </c>
      <c r="P67" s="11"/>
    </row>
    <row r="68" spans="1:16">
      <c r="A68" s="6">
        <v>64</v>
      </c>
      <c r="B68" s="7"/>
      <c r="C68" s="8">
        <v>12</v>
      </c>
      <c r="D68" s="9">
        <v>0.31622685185185184</v>
      </c>
      <c r="E68" s="9">
        <v>0.32291666666666669</v>
      </c>
      <c r="F68" s="9">
        <v>0.3231134259259259</v>
      </c>
      <c r="G68" s="9">
        <v>0.32291666666666669</v>
      </c>
      <c r="H68" s="9">
        <v>0.32430555555555557</v>
      </c>
      <c r="I68" s="8" t="s">
        <v>27</v>
      </c>
      <c r="J68" s="8">
        <f t="shared" si="5"/>
        <v>7</v>
      </c>
      <c r="K68" s="8" t="s">
        <v>18</v>
      </c>
      <c r="L68" s="10">
        <f t="shared" si="9"/>
        <v>3.36666666666666</v>
      </c>
      <c r="M68" s="10">
        <f t="shared" si="6"/>
        <v>9.6333333333333737</v>
      </c>
      <c r="N68" s="10">
        <f t="shared" si="7"/>
        <v>0.28333333333327104</v>
      </c>
      <c r="O68" s="10">
        <f t="shared" si="8"/>
        <v>9.9166666666666448</v>
      </c>
      <c r="P68" s="11"/>
    </row>
    <row r="69" spans="1:16">
      <c r="A69" s="6">
        <v>65</v>
      </c>
      <c r="B69" s="7"/>
      <c r="C69" s="8">
        <v>12</v>
      </c>
      <c r="D69" s="9">
        <v>0.31718750000000001</v>
      </c>
      <c r="E69" s="9">
        <v>0.3231134259259259</v>
      </c>
      <c r="F69" s="9">
        <v>0.32331018518518517</v>
      </c>
      <c r="G69" s="9">
        <v>0.32291666666666669</v>
      </c>
      <c r="H69" s="9">
        <v>0.32430555555555557</v>
      </c>
      <c r="I69" s="8" t="s">
        <v>27</v>
      </c>
      <c r="J69" s="8">
        <f t="shared" ref="J69:J100" si="10">COUNTIF($I$5:$I$89,I69)</f>
        <v>7</v>
      </c>
      <c r="K69" s="8" t="s">
        <v>18</v>
      </c>
      <c r="L69" s="10">
        <f t="shared" si="9"/>
        <v>1.3833333333333631</v>
      </c>
      <c r="M69" s="10">
        <f t="shared" ref="M69:M89" si="11">(E69-D69)*1440</f>
        <v>8.5333333333332817</v>
      </c>
      <c r="N69" s="10">
        <f t="shared" ref="N69:N89" si="12">(F69-E69)*1440</f>
        <v>0.28333333333335098</v>
      </c>
      <c r="O69" s="10">
        <f t="shared" ref="O69:O89" si="13">(F69-D69)*1440</f>
        <v>8.8166666666666327</v>
      </c>
      <c r="P69" s="11"/>
    </row>
    <row r="70" spans="1:16">
      <c r="A70" s="6">
        <v>66</v>
      </c>
      <c r="B70" s="7"/>
      <c r="C70" s="8">
        <v>12</v>
      </c>
      <c r="D70" s="9">
        <v>0.31813657407407409</v>
      </c>
      <c r="E70" s="9">
        <v>0.32331018518518517</v>
      </c>
      <c r="F70" s="9">
        <v>0.32350694444444444</v>
      </c>
      <c r="G70" s="9">
        <v>0.32291666666666669</v>
      </c>
      <c r="H70" s="9">
        <v>0.32430555555555557</v>
      </c>
      <c r="I70" s="8" t="s">
        <v>27</v>
      </c>
      <c r="J70" s="8">
        <f t="shared" si="10"/>
        <v>7</v>
      </c>
      <c r="K70" s="8" t="s">
        <v>18</v>
      </c>
      <c r="L70" s="10">
        <f t="shared" ref="L70:L89" si="14">(D70-D69)*1440</f>
        <v>1.3666666666666671</v>
      </c>
      <c r="M70" s="10">
        <f t="shared" si="11"/>
        <v>7.4499999999999655</v>
      </c>
      <c r="N70" s="10">
        <f t="shared" si="12"/>
        <v>0.28333333333335098</v>
      </c>
      <c r="O70" s="10">
        <f t="shared" si="13"/>
        <v>7.7333333333333165</v>
      </c>
      <c r="P70" s="11"/>
    </row>
    <row r="71" spans="1:16">
      <c r="A71" s="6">
        <v>67</v>
      </c>
      <c r="B71" s="7"/>
      <c r="C71" s="8">
        <v>12</v>
      </c>
      <c r="D71" s="9">
        <v>0.3190972222222222</v>
      </c>
      <c r="E71" s="9">
        <v>0.32350694444444444</v>
      </c>
      <c r="F71" s="9">
        <v>0.32370370370370372</v>
      </c>
      <c r="G71" s="9">
        <v>0.32291666666666669</v>
      </c>
      <c r="H71" s="9">
        <v>0.32430555555555557</v>
      </c>
      <c r="I71" s="8" t="s">
        <v>27</v>
      </c>
      <c r="J71" s="8">
        <f t="shared" si="10"/>
        <v>7</v>
      </c>
      <c r="K71" s="8" t="s">
        <v>18</v>
      </c>
      <c r="L71" s="10">
        <f t="shared" si="14"/>
        <v>1.3833333333332831</v>
      </c>
      <c r="M71" s="10">
        <f t="shared" si="11"/>
        <v>6.3500000000000334</v>
      </c>
      <c r="N71" s="10">
        <f t="shared" si="12"/>
        <v>0.28333333333335098</v>
      </c>
      <c r="O71" s="10">
        <f t="shared" si="13"/>
        <v>6.6333333333333844</v>
      </c>
      <c r="P71" s="11"/>
    </row>
    <row r="72" spans="1:16">
      <c r="A72" s="6">
        <v>68</v>
      </c>
      <c r="B72" s="7"/>
      <c r="C72" s="8">
        <v>12</v>
      </c>
      <c r="D72" s="9">
        <v>0.32004629629629627</v>
      </c>
      <c r="E72" s="9">
        <v>0.32370370370370372</v>
      </c>
      <c r="F72" s="9">
        <v>0.32390046296296299</v>
      </c>
      <c r="G72" s="9">
        <v>0.32291666666666669</v>
      </c>
      <c r="H72" s="9">
        <v>0.32430555555555557</v>
      </c>
      <c r="I72" s="8" t="s">
        <v>28</v>
      </c>
      <c r="J72" s="8">
        <f t="shared" si="10"/>
        <v>4</v>
      </c>
      <c r="K72" s="8" t="s">
        <v>18</v>
      </c>
      <c r="L72" s="10">
        <f t="shared" si="14"/>
        <v>1.3666666666666671</v>
      </c>
      <c r="M72" s="10">
        <f t="shared" si="11"/>
        <v>5.2666666666667172</v>
      </c>
      <c r="N72" s="10">
        <f t="shared" si="12"/>
        <v>0.28333333333335098</v>
      </c>
      <c r="O72" s="10">
        <f t="shared" si="13"/>
        <v>5.5500000000000682</v>
      </c>
      <c r="P72" s="11"/>
    </row>
    <row r="73" spans="1:16">
      <c r="A73" s="6">
        <v>69</v>
      </c>
      <c r="B73" s="7"/>
      <c r="C73" s="8">
        <v>12</v>
      </c>
      <c r="D73" s="9">
        <v>0.32100694444444444</v>
      </c>
      <c r="E73" s="9">
        <v>0.32390046296296299</v>
      </c>
      <c r="F73" s="9">
        <v>0.3240972222222222</v>
      </c>
      <c r="G73" s="9">
        <v>0.32291666666666669</v>
      </c>
      <c r="H73" s="9">
        <v>0.32430555555555557</v>
      </c>
      <c r="I73" s="8" t="s">
        <v>28</v>
      </c>
      <c r="J73" s="8">
        <f t="shared" si="10"/>
        <v>4</v>
      </c>
      <c r="K73" s="8" t="s">
        <v>18</v>
      </c>
      <c r="L73" s="10">
        <f t="shared" si="14"/>
        <v>1.3833333333333631</v>
      </c>
      <c r="M73" s="10">
        <f t="shared" si="11"/>
        <v>4.1666666666667052</v>
      </c>
      <c r="N73" s="10">
        <f t="shared" si="12"/>
        <v>0.28333333333327104</v>
      </c>
      <c r="O73" s="10">
        <f t="shared" si="13"/>
        <v>4.4499999999999762</v>
      </c>
      <c r="P73" s="11"/>
    </row>
    <row r="74" spans="1:16">
      <c r="A74" s="6">
        <v>70</v>
      </c>
      <c r="B74" s="7"/>
      <c r="C74" s="8">
        <v>12</v>
      </c>
      <c r="D74" s="9">
        <v>0.32195601851851852</v>
      </c>
      <c r="E74" s="9">
        <v>0.3240972222222222</v>
      </c>
      <c r="F74" s="9">
        <v>0.32430555555555557</v>
      </c>
      <c r="G74" s="9">
        <v>0.32291666666666669</v>
      </c>
      <c r="H74" s="9">
        <v>0.32430555555555557</v>
      </c>
      <c r="I74" s="8" t="s">
        <v>28</v>
      </c>
      <c r="J74" s="8">
        <f t="shared" si="10"/>
        <v>4</v>
      </c>
      <c r="K74" s="8" t="s">
        <v>18</v>
      </c>
      <c r="L74" s="10">
        <f t="shared" si="14"/>
        <v>1.3666666666666671</v>
      </c>
      <c r="M74" s="10">
        <f t="shared" si="11"/>
        <v>3.0833333333333091</v>
      </c>
      <c r="N74" s="10">
        <f t="shared" si="12"/>
        <v>0.3000000000000469</v>
      </c>
      <c r="O74" s="10">
        <f t="shared" si="13"/>
        <v>3.383333333333356</v>
      </c>
      <c r="P74" s="11"/>
    </row>
    <row r="75" spans="1:16">
      <c r="A75" s="6">
        <v>71</v>
      </c>
      <c r="B75" s="7"/>
      <c r="C75" s="8">
        <v>13</v>
      </c>
      <c r="D75" s="9">
        <v>0.32555555555555554</v>
      </c>
      <c r="E75" s="9">
        <v>0.33055555555555555</v>
      </c>
      <c r="F75" s="9">
        <v>0.33090277777777777</v>
      </c>
      <c r="G75" s="9">
        <v>0.33055555555555555</v>
      </c>
      <c r="H75" s="9">
        <v>0.33194444444444443</v>
      </c>
      <c r="I75" s="8" t="s">
        <v>28</v>
      </c>
      <c r="J75" s="8">
        <f t="shared" si="10"/>
        <v>4</v>
      </c>
      <c r="K75" s="8" t="s">
        <v>18</v>
      </c>
      <c r="L75" s="10">
        <f t="shared" si="14"/>
        <v>5.1833333333333176</v>
      </c>
      <c r="M75" s="10">
        <f t="shared" si="11"/>
        <v>7.2000000000000064</v>
      </c>
      <c r="N75" s="10">
        <f t="shared" si="12"/>
        <v>0.49999999999999822</v>
      </c>
      <c r="O75" s="10">
        <f t="shared" si="13"/>
        <v>7.7000000000000046</v>
      </c>
      <c r="P75" s="11"/>
    </row>
    <row r="76" spans="1:16">
      <c r="A76" s="6">
        <v>72</v>
      </c>
      <c r="B76" s="7"/>
      <c r="C76" s="8">
        <v>13</v>
      </c>
      <c r="D76" s="9">
        <v>0.32680555555555557</v>
      </c>
      <c r="E76" s="9">
        <v>0.33090277777777777</v>
      </c>
      <c r="F76" s="9">
        <v>0.33124999999999999</v>
      </c>
      <c r="G76" s="9">
        <v>0.33055555555555555</v>
      </c>
      <c r="H76" s="9">
        <v>0.33194444444444443</v>
      </c>
      <c r="I76" s="8" t="s">
        <v>29</v>
      </c>
      <c r="J76" s="8">
        <f t="shared" si="10"/>
        <v>4</v>
      </c>
      <c r="K76" s="8" t="s">
        <v>18</v>
      </c>
      <c r="L76" s="10">
        <f t="shared" si="14"/>
        <v>1.8000000000000416</v>
      </c>
      <c r="M76" s="10">
        <f t="shared" si="11"/>
        <v>5.8999999999999631</v>
      </c>
      <c r="N76" s="10">
        <f t="shared" si="12"/>
        <v>0.49999999999999822</v>
      </c>
      <c r="O76" s="10">
        <f t="shared" si="13"/>
        <v>6.3999999999999613</v>
      </c>
      <c r="P76" s="11"/>
    </row>
    <row r="77" spans="1:16">
      <c r="A77" s="6">
        <v>73</v>
      </c>
      <c r="B77" s="7"/>
      <c r="C77" s="8">
        <v>13</v>
      </c>
      <c r="D77" s="9">
        <v>0.32805555555555554</v>
      </c>
      <c r="E77" s="9">
        <v>0.33124999999999999</v>
      </c>
      <c r="F77" s="9">
        <v>0.33159722222222221</v>
      </c>
      <c r="G77" s="9">
        <v>0.33055555555555555</v>
      </c>
      <c r="H77" s="9">
        <v>0.33194444444444443</v>
      </c>
      <c r="I77" s="8" t="s">
        <v>29</v>
      </c>
      <c r="J77" s="8">
        <f t="shared" si="10"/>
        <v>4</v>
      </c>
      <c r="K77" s="8" t="s">
        <v>18</v>
      </c>
      <c r="L77" s="10">
        <f t="shared" si="14"/>
        <v>1.7999999999999616</v>
      </c>
      <c r="M77" s="10">
        <f t="shared" si="11"/>
        <v>4.5999999999999996</v>
      </c>
      <c r="N77" s="10">
        <f t="shared" si="12"/>
        <v>0.49999999999999822</v>
      </c>
      <c r="O77" s="10">
        <f t="shared" si="13"/>
        <v>5.0999999999999979</v>
      </c>
      <c r="P77" s="11"/>
    </row>
    <row r="78" spans="1:16">
      <c r="A78" s="6">
        <v>74</v>
      </c>
      <c r="B78" s="7"/>
      <c r="C78" s="8">
        <v>13</v>
      </c>
      <c r="D78" s="9">
        <v>0.32930555555555557</v>
      </c>
      <c r="E78" s="9">
        <v>0.33159722222222221</v>
      </c>
      <c r="F78" s="9">
        <v>0.33194444444444443</v>
      </c>
      <c r="G78" s="9">
        <v>0.33055555555555555</v>
      </c>
      <c r="H78" s="9">
        <v>0.33194444444444443</v>
      </c>
      <c r="I78" s="8" t="s">
        <v>29</v>
      </c>
      <c r="J78" s="8">
        <f t="shared" si="10"/>
        <v>4</v>
      </c>
      <c r="K78" s="8" t="s">
        <v>18</v>
      </c>
      <c r="L78" s="10">
        <f t="shared" si="14"/>
        <v>1.8000000000000416</v>
      </c>
      <c r="M78" s="10">
        <f t="shared" si="11"/>
        <v>3.2999999999999563</v>
      </c>
      <c r="N78" s="10">
        <f t="shared" si="12"/>
        <v>0.49999999999999822</v>
      </c>
      <c r="O78" s="10">
        <f t="shared" si="13"/>
        <v>3.7999999999999545</v>
      </c>
      <c r="P78" s="11"/>
    </row>
    <row r="79" spans="1:16">
      <c r="A79" s="6">
        <v>75</v>
      </c>
      <c r="B79" s="7"/>
      <c r="C79" s="8">
        <v>14</v>
      </c>
      <c r="D79" s="9">
        <v>0.33322916666666669</v>
      </c>
      <c r="E79" s="9">
        <v>0.34097222222222223</v>
      </c>
      <c r="F79" s="9">
        <v>0.34120370370370373</v>
      </c>
      <c r="G79" s="9">
        <v>0.34097222222222223</v>
      </c>
      <c r="H79" s="9">
        <v>0.34236111111111112</v>
      </c>
      <c r="I79" s="8" t="s">
        <v>29</v>
      </c>
      <c r="J79" s="8">
        <f t="shared" si="10"/>
        <v>4</v>
      </c>
      <c r="K79" s="8" t="s">
        <v>18</v>
      </c>
      <c r="L79" s="10">
        <f t="shared" si="14"/>
        <v>5.6500000000000039</v>
      </c>
      <c r="M79" s="10">
        <f t="shared" si="11"/>
        <v>11.149999999999984</v>
      </c>
      <c r="N79" s="10">
        <f t="shared" si="12"/>
        <v>0.33333333333335879</v>
      </c>
      <c r="O79" s="10">
        <f t="shared" si="13"/>
        <v>11.483333333333343</v>
      </c>
      <c r="P79" s="11"/>
    </row>
    <row r="80" spans="1:16">
      <c r="A80" s="6">
        <v>76</v>
      </c>
      <c r="B80" s="7"/>
      <c r="C80" s="8">
        <v>14</v>
      </c>
      <c r="D80" s="9">
        <v>0.33451388888888889</v>
      </c>
      <c r="E80" s="9">
        <v>0.34120370370370373</v>
      </c>
      <c r="F80" s="9">
        <v>0.34143518518518517</v>
      </c>
      <c r="G80" s="9">
        <v>0.34097222222222223</v>
      </c>
      <c r="H80" s="9">
        <v>0.34236111111111112</v>
      </c>
      <c r="I80" s="8" t="s">
        <v>30</v>
      </c>
      <c r="J80" s="8">
        <f t="shared" si="10"/>
        <v>5</v>
      </c>
      <c r="K80" s="8" t="s">
        <v>18</v>
      </c>
      <c r="L80" s="10">
        <f t="shared" si="14"/>
        <v>1.8499999999999694</v>
      </c>
      <c r="M80" s="10">
        <f t="shared" si="11"/>
        <v>9.6333333333333737</v>
      </c>
      <c r="N80" s="10">
        <f t="shared" si="12"/>
        <v>0.33333333333327886</v>
      </c>
      <c r="O80" s="10">
        <f t="shared" si="13"/>
        <v>9.9666666666666526</v>
      </c>
      <c r="P80" s="11"/>
    </row>
    <row r="81" spans="1:16">
      <c r="A81" s="6">
        <v>77</v>
      </c>
      <c r="B81" s="7"/>
      <c r="C81" s="8">
        <v>14</v>
      </c>
      <c r="D81" s="9">
        <v>0.33581018518518518</v>
      </c>
      <c r="E81" s="9">
        <v>0.34143518518518517</v>
      </c>
      <c r="F81" s="9">
        <v>0.34166666666666667</v>
      </c>
      <c r="G81" s="9">
        <v>0.34097222222222223</v>
      </c>
      <c r="H81" s="9">
        <v>0.34236111111111112</v>
      </c>
      <c r="I81" s="8" t="s">
        <v>30</v>
      </c>
      <c r="J81" s="8">
        <f t="shared" si="10"/>
        <v>5</v>
      </c>
      <c r="K81" s="8" t="s">
        <v>18</v>
      </c>
      <c r="L81" s="10">
        <f t="shared" si="14"/>
        <v>1.8666666666666654</v>
      </c>
      <c r="M81" s="10">
        <f t="shared" si="11"/>
        <v>8.0999999999999872</v>
      </c>
      <c r="N81" s="10">
        <f t="shared" si="12"/>
        <v>0.33333333333335879</v>
      </c>
      <c r="O81" s="10">
        <f t="shared" si="13"/>
        <v>8.433333333333346</v>
      </c>
      <c r="P81" s="11"/>
    </row>
    <row r="82" spans="1:16">
      <c r="A82" s="6">
        <v>78</v>
      </c>
      <c r="B82" s="7"/>
      <c r="C82" s="8">
        <v>14</v>
      </c>
      <c r="D82" s="9">
        <v>0.33709490740740738</v>
      </c>
      <c r="E82" s="9">
        <v>0.34166666666666667</v>
      </c>
      <c r="F82" s="9">
        <v>0.34189814814814817</v>
      </c>
      <c r="G82" s="9">
        <v>0.34097222222222223</v>
      </c>
      <c r="H82" s="9">
        <v>0.34236111111111112</v>
      </c>
      <c r="I82" s="8" t="s">
        <v>30</v>
      </c>
      <c r="J82" s="8">
        <f t="shared" si="10"/>
        <v>5</v>
      </c>
      <c r="K82" s="8" t="s">
        <v>18</v>
      </c>
      <c r="L82" s="10">
        <f t="shared" si="14"/>
        <v>1.8499999999999694</v>
      </c>
      <c r="M82" s="10">
        <f t="shared" si="11"/>
        <v>6.5833333333333766</v>
      </c>
      <c r="N82" s="10">
        <f t="shared" si="12"/>
        <v>0.33333333333335879</v>
      </c>
      <c r="O82" s="10">
        <f t="shared" si="13"/>
        <v>6.9166666666667354</v>
      </c>
      <c r="P82" s="11"/>
    </row>
    <row r="83" spans="1:16">
      <c r="A83" s="6">
        <v>79</v>
      </c>
      <c r="B83" s="7"/>
      <c r="C83" s="8">
        <v>14</v>
      </c>
      <c r="D83" s="9">
        <v>0.33839120370370368</v>
      </c>
      <c r="E83" s="9">
        <v>0.34189814814814817</v>
      </c>
      <c r="F83" s="9">
        <v>0.34212962962962962</v>
      </c>
      <c r="G83" s="9">
        <v>0.34097222222222223</v>
      </c>
      <c r="H83" s="9">
        <v>0.34236111111111112</v>
      </c>
      <c r="I83" s="8" t="s">
        <v>30</v>
      </c>
      <c r="J83" s="8">
        <f t="shared" si="10"/>
        <v>5</v>
      </c>
      <c r="K83" s="8" t="s">
        <v>18</v>
      </c>
      <c r="L83" s="10">
        <f t="shared" si="14"/>
        <v>1.8666666666666654</v>
      </c>
      <c r="M83" s="10">
        <f t="shared" si="11"/>
        <v>5.05000000000007</v>
      </c>
      <c r="N83" s="10">
        <f t="shared" si="12"/>
        <v>0.33333333333327886</v>
      </c>
      <c r="O83" s="10">
        <f t="shared" si="13"/>
        <v>5.3833333333333488</v>
      </c>
      <c r="P83" s="11"/>
    </row>
    <row r="84" spans="1:16">
      <c r="A84" s="6">
        <v>80</v>
      </c>
      <c r="B84" s="7"/>
      <c r="C84" s="8">
        <v>14</v>
      </c>
      <c r="D84" s="9">
        <v>0.33967592592592594</v>
      </c>
      <c r="E84" s="9">
        <v>0.34212962962962962</v>
      </c>
      <c r="F84" s="9">
        <v>0.34236111111111112</v>
      </c>
      <c r="G84" s="9">
        <v>0.34097222222222223</v>
      </c>
      <c r="H84" s="9">
        <v>0.34236111111111112</v>
      </c>
      <c r="I84" s="8" t="s">
        <v>30</v>
      </c>
      <c r="J84" s="8">
        <f t="shared" si="10"/>
        <v>5</v>
      </c>
      <c r="K84" s="8" t="s">
        <v>18</v>
      </c>
      <c r="L84" s="10">
        <f t="shared" si="14"/>
        <v>1.8500000000000494</v>
      </c>
      <c r="M84" s="10">
        <f t="shared" si="11"/>
        <v>3.5333333333332995</v>
      </c>
      <c r="N84" s="10">
        <f t="shared" si="12"/>
        <v>0.33333333333335879</v>
      </c>
      <c r="O84" s="10">
        <f t="shared" si="13"/>
        <v>3.8666666666666583</v>
      </c>
      <c r="P84" s="11"/>
    </row>
    <row r="85" spans="1:16">
      <c r="A85" s="6">
        <v>81</v>
      </c>
      <c r="B85" s="7"/>
      <c r="C85" s="8">
        <v>15</v>
      </c>
      <c r="D85" s="9">
        <v>0.3439814814814815</v>
      </c>
      <c r="E85" s="9">
        <v>0.35208333333333336</v>
      </c>
      <c r="F85" s="9">
        <v>0.35222222222222221</v>
      </c>
      <c r="G85" s="9">
        <v>0.35208333333333336</v>
      </c>
      <c r="H85" s="9">
        <v>0.3527777777777778</v>
      </c>
      <c r="I85" s="8" t="s">
        <v>31</v>
      </c>
      <c r="J85" s="8">
        <f t="shared" si="10"/>
        <v>2</v>
      </c>
      <c r="K85" s="8" t="s">
        <v>18</v>
      </c>
      <c r="L85" s="10">
        <f t="shared" si="14"/>
        <v>6.2000000000000099</v>
      </c>
      <c r="M85" s="10">
        <f t="shared" si="11"/>
        <v>11.666666666666679</v>
      </c>
      <c r="N85" s="10">
        <f t="shared" si="12"/>
        <v>0.19999999999995133</v>
      </c>
      <c r="O85" s="10">
        <f t="shared" si="13"/>
        <v>11.86666666666663</v>
      </c>
      <c r="P85" s="11"/>
    </row>
    <row r="86" spans="1:16">
      <c r="A86" s="6">
        <v>82</v>
      </c>
      <c r="B86" s="7"/>
      <c r="C86" s="8">
        <v>15</v>
      </c>
      <c r="D86" s="9">
        <v>0.34560185185185183</v>
      </c>
      <c r="E86" s="9">
        <v>0.35222222222222221</v>
      </c>
      <c r="F86" s="9">
        <v>0.35236111111111112</v>
      </c>
      <c r="G86" s="9">
        <v>0.35208333333333336</v>
      </c>
      <c r="H86" s="9">
        <v>0.3527777777777778</v>
      </c>
      <c r="I86" s="8" t="s">
        <v>31</v>
      </c>
      <c r="J86" s="8">
        <f t="shared" si="10"/>
        <v>2</v>
      </c>
      <c r="K86" s="8" t="s">
        <v>18</v>
      </c>
      <c r="L86" s="10">
        <f t="shared" si="14"/>
        <v>2.3333333333332718</v>
      </c>
      <c r="M86" s="10">
        <f t="shared" si="11"/>
        <v>9.5333333333333581</v>
      </c>
      <c r="N86" s="10">
        <f t="shared" si="12"/>
        <v>0.20000000000003126</v>
      </c>
      <c r="O86" s="10">
        <f t="shared" si="13"/>
        <v>9.7333333333333893</v>
      </c>
      <c r="P86" s="11"/>
    </row>
    <row r="87" spans="1:16">
      <c r="A87" s="6">
        <v>83</v>
      </c>
      <c r="B87" s="7"/>
      <c r="C87" s="8">
        <v>15</v>
      </c>
      <c r="D87" s="9">
        <v>0.34722222222222221</v>
      </c>
      <c r="E87" s="9">
        <v>0.35236111111111112</v>
      </c>
      <c r="F87" s="9">
        <v>0.35249999999999998</v>
      </c>
      <c r="G87" s="9">
        <v>0.35208333333333336</v>
      </c>
      <c r="H87" s="9">
        <v>0.3527777777777778</v>
      </c>
      <c r="I87" s="8" t="s">
        <v>32</v>
      </c>
      <c r="J87" s="8">
        <f t="shared" si="10"/>
        <v>3</v>
      </c>
      <c r="K87" s="8" t="s">
        <v>18</v>
      </c>
      <c r="L87" s="10">
        <f t="shared" si="14"/>
        <v>2.3333333333333517</v>
      </c>
      <c r="M87" s="10">
        <f t="shared" si="11"/>
        <v>7.4000000000000377</v>
      </c>
      <c r="N87" s="10">
        <f t="shared" si="12"/>
        <v>0.19999999999995133</v>
      </c>
      <c r="O87" s="10">
        <f t="shared" si="13"/>
        <v>7.599999999999989</v>
      </c>
      <c r="P87" s="11"/>
    </row>
    <row r="88" spans="1:16">
      <c r="A88" s="6">
        <v>84</v>
      </c>
      <c r="B88" s="7"/>
      <c r="C88" s="8">
        <v>15</v>
      </c>
      <c r="D88" s="9">
        <v>0.34884259259259259</v>
      </c>
      <c r="E88" s="9">
        <v>0.35249999999999998</v>
      </c>
      <c r="F88" s="9">
        <v>0.35263888888888889</v>
      </c>
      <c r="G88" s="9">
        <v>0.35208333333333336</v>
      </c>
      <c r="H88" s="9">
        <v>0.3527777777777778</v>
      </c>
      <c r="I88" s="8" t="s">
        <v>32</v>
      </c>
      <c r="J88" s="8">
        <f t="shared" si="10"/>
        <v>3</v>
      </c>
      <c r="K88" s="8" t="s">
        <v>18</v>
      </c>
      <c r="L88" s="10">
        <f t="shared" si="14"/>
        <v>2.3333333333333517</v>
      </c>
      <c r="M88" s="10">
        <f t="shared" si="11"/>
        <v>5.2666666666666373</v>
      </c>
      <c r="N88" s="10">
        <f t="shared" si="12"/>
        <v>0.20000000000003126</v>
      </c>
      <c r="O88" s="10">
        <f t="shared" si="13"/>
        <v>5.4666666666666686</v>
      </c>
      <c r="P88" s="11"/>
    </row>
    <row r="89" spans="1:16">
      <c r="A89" s="12">
        <v>85</v>
      </c>
      <c r="B89" s="13"/>
      <c r="C89" s="14">
        <v>15</v>
      </c>
      <c r="D89" s="15">
        <v>0.35046296296296298</v>
      </c>
      <c r="E89" s="15">
        <v>0.35263888888888889</v>
      </c>
      <c r="F89" s="15">
        <v>0.3527777777777778</v>
      </c>
      <c r="G89" s="15">
        <v>0.35208333333333336</v>
      </c>
      <c r="H89" s="15">
        <v>0.3527777777777778</v>
      </c>
      <c r="I89" s="14" t="s">
        <v>32</v>
      </c>
      <c r="J89" s="14">
        <f t="shared" si="10"/>
        <v>3</v>
      </c>
      <c r="K89" s="14" t="s">
        <v>18</v>
      </c>
      <c r="L89" s="16">
        <f t="shared" si="14"/>
        <v>2.3333333333333517</v>
      </c>
      <c r="M89" s="16">
        <f t="shared" si="11"/>
        <v>3.1333333333333169</v>
      </c>
      <c r="N89" s="16">
        <f t="shared" si="12"/>
        <v>0.20000000000003126</v>
      </c>
      <c r="O89" s="16">
        <f t="shared" si="13"/>
        <v>3.3333333333333481</v>
      </c>
      <c r="P89" s="17"/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observaciones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LOPEZ SOSA NICOLE ALEJANDRA</cp:lastModifiedBy>
  <dcterms:modified xsi:type="dcterms:W3CDTF">2026-09-02T03:42:35Z</dcterms:modified>
</cp:coreProperties>
</file>